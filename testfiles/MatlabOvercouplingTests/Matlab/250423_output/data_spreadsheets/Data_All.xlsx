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ricx\Documents\arpe\testfiles\MatlabOvercouplingTests\Matlab\250423_output\data_spreadsheets\"/>
    </mc:Choice>
  </mc:AlternateContent>
  <xr:revisionPtr revIDLastSave="0" documentId="13_ncr:1_{4C32420F-A958-48CB-A1CB-7161C504BB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J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3" i="1" l="1"/>
  <c r="W3" i="1"/>
  <c r="V4" i="1"/>
  <c r="W4" i="1"/>
  <c r="V5" i="1"/>
  <c r="W5" i="1"/>
  <c r="V6" i="1"/>
  <c r="W6" i="1"/>
  <c r="V7" i="1"/>
  <c r="W7" i="1"/>
  <c r="V8" i="1"/>
  <c r="W8" i="1"/>
  <c r="V9" i="1"/>
  <c r="W9" i="1"/>
  <c r="V10" i="1"/>
  <c r="W10" i="1"/>
  <c r="V11" i="1"/>
  <c r="W11" i="1"/>
  <c r="V12" i="1"/>
  <c r="W12" i="1"/>
  <c r="V13" i="1"/>
  <c r="W13" i="1"/>
  <c r="V14" i="1"/>
  <c r="W14" i="1"/>
  <c r="V15" i="1"/>
  <c r="W15" i="1"/>
  <c r="V16" i="1"/>
  <c r="W16" i="1"/>
  <c r="V17" i="1"/>
  <c r="W17" i="1"/>
  <c r="V21" i="1"/>
  <c r="W21" i="1"/>
  <c r="V22" i="1"/>
  <c r="W22" i="1"/>
  <c r="V23" i="1"/>
  <c r="W23" i="1"/>
  <c r="V24" i="1"/>
  <c r="W24" i="1"/>
  <c r="V25" i="1"/>
  <c r="W25" i="1"/>
  <c r="V26" i="1"/>
  <c r="W26" i="1"/>
  <c r="V27" i="1"/>
  <c r="W27" i="1"/>
  <c r="V28" i="1"/>
  <c r="W28" i="1"/>
  <c r="V29" i="1"/>
  <c r="W29" i="1"/>
  <c r="V30" i="1"/>
  <c r="W30" i="1"/>
  <c r="V31" i="1"/>
  <c r="W31" i="1"/>
  <c r="V32" i="1"/>
  <c r="W32" i="1"/>
  <c r="V33" i="1"/>
  <c r="W33" i="1"/>
  <c r="V34" i="1"/>
  <c r="W34" i="1"/>
  <c r="V35" i="1"/>
  <c r="W35" i="1"/>
  <c r="V39" i="1"/>
  <c r="W39" i="1"/>
  <c r="V40" i="1"/>
  <c r="W40" i="1"/>
  <c r="V41" i="1"/>
  <c r="W41" i="1"/>
  <c r="V42" i="1"/>
  <c r="W42" i="1"/>
  <c r="V43" i="1"/>
  <c r="W43" i="1"/>
  <c r="V44" i="1"/>
  <c r="W44" i="1"/>
  <c r="V45" i="1"/>
  <c r="W45" i="1"/>
  <c r="V46" i="1"/>
  <c r="W46" i="1"/>
  <c r="V47" i="1"/>
  <c r="W47" i="1"/>
  <c r="V48" i="1"/>
  <c r="W48" i="1"/>
  <c r="V49" i="1"/>
  <c r="W49" i="1"/>
  <c r="V50" i="1"/>
  <c r="W50" i="1"/>
  <c r="V51" i="1"/>
  <c r="W51" i="1"/>
  <c r="V52" i="1"/>
  <c r="W52" i="1"/>
  <c r="V56" i="1"/>
  <c r="W56" i="1"/>
  <c r="V57" i="1"/>
  <c r="W57" i="1"/>
  <c r="V58" i="1"/>
  <c r="W58" i="1"/>
  <c r="V59" i="1"/>
  <c r="W59" i="1"/>
  <c r="V60" i="1"/>
  <c r="W60" i="1"/>
  <c r="V61" i="1"/>
  <c r="W61" i="1"/>
  <c r="V62" i="1"/>
  <c r="W62" i="1"/>
  <c r="V63" i="1"/>
  <c r="W63" i="1"/>
  <c r="V64" i="1"/>
  <c r="W64" i="1"/>
  <c r="V65" i="1"/>
  <c r="W65" i="1"/>
  <c r="V66" i="1"/>
  <c r="W66" i="1"/>
  <c r="V67" i="1"/>
  <c r="W67" i="1"/>
  <c r="V68" i="1"/>
  <c r="W68" i="1"/>
  <c r="V72" i="1"/>
  <c r="W72" i="1"/>
  <c r="V73" i="1"/>
  <c r="W73" i="1"/>
  <c r="V74" i="1"/>
  <c r="W74" i="1"/>
  <c r="V75" i="1"/>
  <c r="W75" i="1"/>
  <c r="V76" i="1"/>
  <c r="W76" i="1"/>
  <c r="V77" i="1"/>
  <c r="W77" i="1"/>
  <c r="V78" i="1"/>
  <c r="W78" i="1"/>
  <c r="V79" i="1"/>
  <c r="W79" i="1"/>
  <c r="V80" i="1"/>
  <c r="W80" i="1"/>
  <c r="V81" i="1"/>
  <c r="W81" i="1"/>
  <c r="V82" i="1"/>
  <c r="W82" i="1"/>
  <c r="V83" i="1"/>
  <c r="W83" i="1"/>
  <c r="V87" i="1"/>
  <c r="W87" i="1"/>
  <c r="V88" i="1"/>
  <c r="W88" i="1"/>
  <c r="V89" i="1"/>
  <c r="W89" i="1"/>
  <c r="V90" i="1"/>
  <c r="W90" i="1"/>
  <c r="V91" i="1"/>
  <c r="W91" i="1"/>
  <c r="V92" i="1"/>
  <c r="W92" i="1"/>
  <c r="V93" i="1"/>
  <c r="W93" i="1"/>
  <c r="V94" i="1"/>
  <c r="W94" i="1"/>
  <c r="V95" i="1"/>
  <c r="W95" i="1"/>
  <c r="V96" i="1"/>
  <c r="W96" i="1"/>
  <c r="V97" i="1"/>
  <c r="W97" i="1"/>
  <c r="V101" i="1"/>
  <c r="W101" i="1"/>
  <c r="V102" i="1"/>
  <c r="W102" i="1"/>
  <c r="V103" i="1"/>
  <c r="W103" i="1"/>
  <c r="V104" i="1"/>
  <c r="W104" i="1"/>
  <c r="V105" i="1"/>
  <c r="W105" i="1"/>
  <c r="V106" i="1"/>
  <c r="W106" i="1"/>
  <c r="V107" i="1"/>
  <c r="W107" i="1"/>
  <c r="V108" i="1"/>
  <c r="W108" i="1"/>
  <c r="V109" i="1"/>
  <c r="W109" i="1"/>
  <c r="V110" i="1"/>
  <c r="W110" i="1"/>
  <c r="V114" i="1"/>
  <c r="W114" i="1"/>
  <c r="V115" i="1"/>
  <c r="W115" i="1"/>
  <c r="V116" i="1"/>
  <c r="W116" i="1"/>
  <c r="V117" i="1"/>
  <c r="W117" i="1"/>
  <c r="V118" i="1"/>
  <c r="W118" i="1"/>
  <c r="V119" i="1"/>
  <c r="W119" i="1"/>
  <c r="V120" i="1"/>
  <c r="W120" i="1"/>
  <c r="V121" i="1"/>
  <c r="W121" i="1"/>
  <c r="V122" i="1"/>
  <c r="W122" i="1"/>
  <c r="V126" i="1"/>
  <c r="W126" i="1"/>
  <c r="V127" i="1"/>
  <c r="W127" i="1"/>
  <c r="V128" i="1"/>
  <c r="W128" i="1"/>
  <c r="V129" i="1"/>
  <c r="W129" i="1"/>
  <c r="V130" i="1"/>
  <c r="W130" i="1"/>
  <c r="V131" i="1"/>
  <c r="W131" i="1"/>
  <c r="V132" i="1"/>
  <c r="W132" i="1"/>
  <c r="V133" i="1"/>
  <c r="W133" i="1"/>
  <c r="V137" i="1"/>
  <c r="W137" i="1"/>
  <c r="V138" i="1"/>
  <c r="W138" i="1"/>
  <c r="V139" i="1"/>
  <c r="W139" i="1"/>
  <c r="V140" i="1"/>
  <c r="W140" i="1"/>
  <c r="V141" i="1"/>
  <c r="W141" i="1"/>
  <c r="V142" i="1"/>
  <c r="W142" i="1"/>
  <c r="V143" i="1"/>
  <c r="W143" i="1"/>
  <c r="V147" i="1"/>
  <c r="W147" i="1"/>
  <c r="V148" i="1"/>
  <c r="W148" i="1"/>
  <c r="V149" i="1"/>
  <c r="W149" i="1"/>
  <c r="V150" i="1"/>
  <c r="W150" i="1"/>
  <c r="V151" i="1"/>
  <c r="W151" i="1"/>
  <c r="V152" i="1"/>
  <c r="W152" i="1"/>
  <c r="V156" i="1"/>
  <c r="W156" i="1"/>
  <c r="V157" i="1"/>
  <c r="W157" i="1"/>
  <c r="V158" i="1"/>
  <c r="W158" i="1"/>
  <c r="V159" i="1"/>
  <c r="W159" i="1"/>
  <c r="V160" i="1"/>
  <c r="W160" i="1"/>
  <c r="V164" i="1"/>
  <c r="W164" i="1"/>
  <c r="V165" i="1"/>
  <c r="W165" i="1"/>
  <c r="V166" i="1"/>
  <c r="W166" i="1"/>
  <c r="V167" i="1"/>
  <c r="W167" i="1"/>
  <c r="V171" i="1"/>
  <c r="W171" i="1"/>
  <c r="V172" i="1"/>
  <c r="W172" i="1"/>
  <c r="V173" i="1"/>
  <c r="W173" i="1"/>
  <c r="V177" i="1"/>
  <c r="W177" i="1"/>
  <c r="V178" i="1"/>
  <c r="W178" i="1"/>
  <c r="V182" i="1"/>
  <c r="W182" i="1"/>
  <c r="W2" i="1"/>
  <c r="V2" i="1"/>
  <c r="T3" i="1"/>
  <c r="T4" i="1"/>
  <c r="T5" i="1"/>
  <c r="T6" i="1"/>
  <c r="T7" i="1"/>
  <c r="T8" i="1"/>
  <c r="T9" i="1"/>
  <c r="T10" i="1"/>
  <c r="T11" i="1"/>
  <c r="T12" i="1"/>
  <c r="T13" i="1"/>
  <c r="T14" i="1"/>
  <c r="T15" i="1"/>
  <c r="T16" i="1"/>
  <c r="T17" i="1"/>
  <c r="T21" i="1"/>
  <c r="T22" i="1"/>
  <c r="T23" i="1"/>
  <c r="T24" i="1"/>
  <c r="T25" i="1"/>
  <c r="T26" i="1"/>
  <c r="T27" i="1"/>
  <c r="T28" i="1"/>
  <c r="T29" i="1"/>
  <c r="T30" i="1"/>
  <c r="T31" i="1"/>
  <c r="T32" i="1"/>
  <c r="T33" i="1"/>
  <c r="T34" i="1"/>
  <c r="T35" i="1"/>
  <c r="T39" i="1"/>
  <c r="T40" i="1"/>
  <c r="T41" i="1"/>
  <c r="T42" i="1"/>
  <c r="T43" i="1"/>
  <c r="T44" i="1"/>
  <c r="T45" i="1"/>
  <c r="T46" i="1"/>
  <c r="T47" i="1"/>
  <c r="T48" i="1"/>
  <c r="T49" i="1"/>
  <c r="T50" i="1"/>
  <c r="T51" i="1"/>
  <c r="T52" i="1"/>
  <c r="T56" i="1"/>
  <c r="T57" i="1"/>
  <c r="T58" i="1"/>
  <c r="T59" i="1"/>
  <c r="T60" i="1"/>
  <c r="T61" i="1"/>
  <c r="T62" i="1"/>
  <c r="T63" i="1"/>
  <c r="T64" i="1"/>
  <c r="T65" i="1"/>
  <c r="T66" i="1"/>
  <c r="T67" i="1"/>
  <c r="T68" i="1"/>
  <c r="T72" i="1"/>
  <c r="T73" i="1"/>
  <c r="T74" i="1"/>
  <c r="T75" i="1"/>
  <c r="T76" i="1"/>
  <c r="T77" i="1"/>
  <c r="T78" i="1"/>
  <c r="T79" i="1"/>
  <c r="T80" i="1"/>
  <c r="T81" i="1"/>
  <c r="T82" i="1"/>
  <c r="T83" i="1"/>
  <c r="T87" i="1"/>
  <c r="T88" i="1"/>
  <c r="T89" i="1"/>
  <c r="T90" i="1"/>
  <c r="T91" i="1"/>
  <c r="T92" i="1"/>
  <c r="T93" i="1"/>
  <c r="T94" i="1"/>
  <c r="T95" i="1"/>
  <c r="T96" i="1"/>
  <c r="T97" i="1"/>
  <c r="T101" i="1"/>
  <c r="T102" i="1"/>
  <c r="T103" i="1"/>
  <c r="T104" i="1"/>
  <c r="T105" i="1"/>
  <c r="T106" i="1"/>
  <c r="T107" i="1"/>
  <c r="T108" i="1"/>
  <c r="T109" i="1"/>
  <c r="T110" i="1"/>
  <c r="T114" i="1"/>
  <c r="T115" i="1"/>
  <c r="T116" i="1"/>
  <c r="T117" i="1"/>
  <c r="T118" i="1"/>
  <c r="T119" i="1"/>
  <c r="T120" i="1"/>
  <c r="T121" i="1"/>
  <c r="T122" i="1"/>
  <c r="T126" i="1"/>
  <c r="T127" i="1"/>
  <c r="T128" i="1"/>
  <c r="T129" i="1"/>
  <c r="T130" i="1"/>
  <c r="T131" i="1"/>
  <c r="T132" i="1"/>
  <c r="T133" i="1"/>
  <c r="T137" i="1"/>
  <c r="T138" i="1"/>
  <c r="T139" i="1"/>
  <c r="T140" i="1"/>
  <c r="T141" i="1"/>
  <c r="T142" i="1"/>
  <c r="T143" i="1"/>
  <c r="T147" i="1"/>
  <c r="T148" i="1"/>
  <c r="T149" i="1"/>
  <c r="T150" i="1"/>
  <c r="T151" i="1"/>
  <c r="T152" i="1"/>
  <c r="T156" i="1"/>
  <c r="T157" i="1"/>
  <c r="T158" i="1"/>
  <c r="T159" i="1"/>
  <c r="T160" i="1"/>
  <c r="T164" i="1"/>
  <c r="T165" i="1"/>
  <c r="T166" i="1"/>
  <c r="T167" i="1"/>
  <c r="T171" i="1"/>
  <c r="T172" i="1"/>
  <c r="T173" i="1"/>
  <c r="T177" i="1"/>
  <c r="T178" i="1"/>
  <c r="T182" i="1"/>
  <c r="T2" i="1"/>
  <c r="K167" i="1"/>
  <c r="K56" i="1"/>
  <c r="K57" i="1"/>
  <c r="K58" i="1"/>
  <c r="K59" i="1"/>
  <c r="K60" i="1"/>
  <c r="K61" i="1"/>
  <c r="K62" i="1"/>
  <c r="K63" i="1"/>
  <c r="K64" i="1"/>
  <c r="K65" i="1"/>
  <c r="K66" i="1"/>
  <c r="K67" i="1"/>
  <c r="K68" i="1"/>
  <c r="K72" i="1"/>
  <c r="K73" i="1"/>
  <c r="K74" i="1"/>
  <c r="K75" i="1"/>
  <c r="K76" i="1"/>
  <c r="K77" i="1"/>
  <c r="K78" i="1"/>
  <c r="K79" i="1"/>
  <c r="K80" i="1"/>
  <c r="K81" i="1"/>
  <c r="K82" i="1"/>
  <c r="K83" i="1"/>
  <c r="K87" i="1"/>
  <c r="K88" i="1"/>
  <c r="K89" i="1"/>
  <c r="K90" i="1"/>
  <c r="K91" i="1"/>
  <c r="K92" i="1"/>
  <c r="K93" i="1"/>
  <c r="K94" i="1"/>
  <c r="K95" i="1"/>
  <c r="K96" i="1"/>
  <c r="K97" i="1"/>
  <c r="K101" i="1"/>
  <c r="K102" i="1"/>
  <c r="K103" i="1"/>
  <c r="K104" i="1"/>
  <c r="K105" i="1"/>
  <c r="K106" i="1"/>
  <c r="K107" i="1"/>
  <c r="K108" i="1"/>
  <c r="K109" i="1"/>
  <c r="K110" i="1"/>
  <c r="K114" i="1"/>
  <c r="K115" i="1"/>
  <c r="K116" i="1"/>
  <c r="K117" i="1"/>
  <c r="K118" i="1"/>
  <c r="K119" i="1"/>
  <c r="K126" i="1"/>
  <c r="K127" i="1"/>
  <c r="K128" i="1"/>
  <c r="K129" i="1"/>
  <c r="K130" i="1"/>
  <c r="K131" i="1"/>
  <c r="K132" i="1"/>
  <c r="K133" i="1"/>
  <c r="K137" i="1"/>
  <c r="K138" i="1"/>
  <c r="K139" i="1"/>
  <c r="K140" i="1"/>
  <c r="K141" i="1"/>
  <c r="K142" i="1"/>
  <c r="K143" i="1"/>
  <c r="K147" i="1"/>
  <c r="K148" i="1"/>
  <c r="K149" i="1"/>
  <c r="K150" i="1"/>
  <c r="K151" i="1"/>
  <c r="K152" i="1"/>
  <c r="K156" i="1"/>
  <c r="K157" i="1"/>
  <c r="K158" i="1"/>
  <c r="K159" i="1"/>
  <c r="K160" i="1"/>
  <c r="K164" i="1"/>
  <c r="K165" i="1"/>
  <c r="K166" i="1"/>
  <c r="K177" i="1"/>
  <c r="K178" i="1"/>
  <c r="K182" i="1"/>
  <c r="K39" i="1"/>
  <c r="K40" i="1"/>
  <c r="K41" i="1"/>
  <c r="K42" i="1"/>
  <c r="K43" i="1"/>
  <c r="K44" i="1"/>
  <c r="K45" i="1"/>
  <c r="K46" i="1"/>
  <c r="K47" i="1"/>
  <c r="K48" i="1"/>
  <c r="K49" i="1"/>
  <c r="K50" i="1"/>
  <c r="K51" i="1"/>
  <c r="K52" i="1"/>
  <c r="K22" i="1"/>
  <c r="K23" i="1"/>
  <c r="K24" i="1"/>
  <c r="K25" i="1"/>
  <c r="K26" i="1"/>
  <c r="K27" i="1"/>
  <c r="K28" i="1"/>
  <c r="K29" i="1"/>
  <c r="K30" i="1"/>
  <c r="K31" i="1"/>
  <c r="K32" i="1"/>
  <c r="K33" i="1"/>
  <c r="K34" i="1"/>
  <c r="K35" i="1"/>
  <c r="K21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2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9" i="1"/>
  <c r="H40" i="1"/>
  <c r="H41" i="1"/>
  <c r="H42" i="1"/>
  <c r="H43" i="1"/>
  <c r="H44" i="1"/>
  <c r="U44" i="1" s="1"/>
  <c r="H45" i="1"/>
  <c r="H46" i="1"/>
  <c r="H47" i="1"/>
  <c r="H48" i="1"/>
  <c r="H49" i="1"/>
  <c r="H50" i="1"/>
  <c r="H51" i="1"/>
  <c r="H52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72" i="1"/>
  <c r="H73" i="1"/>
  <c r="H74" i="1"/>
  <c r="H75" i="1"/>
  <c r="H76" i="1"/>
  <c r="H77" i="1"/>
  <c r="H78" i="1"/>
  <c r="H79" i="1"/>
  <c r="H80" i="1"/>
  <c r="H81" i="1"/>
  <c r="H82" i="1"/>
  <c r="H83" i="1"/>
  <c r="H87" i="1"/>
  <c r="H88" i="1"/>
  <c r="H89" i="1"/>
  <c r="H90" i="1"/>
  <c r="H91" i="1"/>
  <c r="H92" i="1"/>
  <c r="H93" i="1"/>
  <c r="H94" i="1"/>
  <c r="H95" i="1"/>
  <c r="H96" i="1"/>
  <c r="H97" i="1"/>
  <c r="H101" i="1"/>
  <c r="H102" i="1"/>
  <c r="H103" i="1"/>
  <c r="H104" i="1"/>
  <c r="H105" i="1"/>
  <c r="H106" i="1"/>
  <c r="H107" i="1"/>
  <c r="H108" i="1"/>
  <c r="H109" i="1"/>
  <c r="H110" i="1"/>
  <c r="H114" i="1"/>
  <c r="H115" i="1"/>
  <c r="H116" i="1"/>
  <c r="H117" i="1"/>
  <c r="H118" i="1"/>
  <c r="H119" i="1"/>
  <c r="H120" i="1"/>
  <c r="H121" i="1"/>
  <c r="H122" i="1"/>
  <c r="H126" i="1"/>
  <c r="H127" i="1"/>
  <c r="H128" i="1"/>
  <c r="H129" i="1"/>
  <c r="H130" i="1"/>
  <c r="H131" i="1"/>
  <c r="H132" i="1"/>
  <c r="H133" i="1"/>
  <c r="H137" i="1"/>
  <c r="H138" i="1"/>
  <c r="H139" i="1"/>
  <c r="H140" i="1"/>
  <c r="H141" i="1"/>
  <c r="H142" i="1"/>
  <c r="H143" i="1"/>
  <c r="H147" i="1"/>
  <c r="H148" i="1"/>
  <c r="H149" i="1"/>
  <c r="H150" i="1"/>
  <c r="H151" i="1"/>
  <c r="H152" i="1"/>
  <c r="H156" i="1"/>
  <c r="H157" i="1"/>
  <c r="H158" i="1"/>
  <c r="H159" i="1"/>
  <c r="H160" i="1"/>
  <c r="H164" i="1"/>
  <c r="H165" i="1"/>
  <c r="H166" i="1"/>
  <c r="H167" i="1"/>
  <c r="H171" i="1"/>
  <c r="H172" i="1"/>
  <c r="H173" i="1"/>
  <c r="H177" i="1"/>
  <c r="H178" i="1"/>
  <c r="H182" i="1"/>
  <c r="H8" i="1"/>
  <c r="H2" i="1"/>
  <c r="H3" i="1"/>
  <c r="H4" i="1"/>
  <c r="H5" i="1"/>
  <c r="H6" i="1"/>
  <c r="H7" i="1"/>
  <c r="H9" i="1"/>
  <c r="H10" i="1"/>
  <c r="H11" i="1"/>
  <c r="H12" i="1"/>
  <c r="H13" i="1"/>
  <c r="H14" i="1"/>
  <c r="H15" i="1"/>
  <c r="H16" i="1"/>
  <c r="H17" i="1"/>
  <c r="U91" i="1" l="1"/>
  <c r="U52" i="1"/>
  <c r="U6" i="1"/>
  <c r="U12" i="1"/>
  <c r="U7" i="1"/>
  <c r="U13" i="1"/>
  <c r="U17" i="1"/>
  <c r="U10" i="1"/>
  <c r="U76" i="1"/>
  <c r="U65" i="1"/>
  <c r="U57" i="1"/>
  <c r="U82" i="1"/>
  <c r="U74" i="1"/>
  <c r="U63" i="1"/>
  <c r="U33" i="1"/>
  <c r="U87" i="1"/>
  <c r="U35" i="1"/>
  <c r="U5" i="1"/>
  <c r="U101" i="1"/>
  <c r="U88" i="1"/>
  <c r="U79" i="1"/>
  <c r="U68" i="1"/>
  <c r="U60" i="1"/>
  <c r="U49" i="1"/>
  <c r="U41" i="1"/>
  <c r="U30" i="1"/>
  <c r="U11" i="1"/>
  <c r="U93" i="1"/>
  <c r="U46" i="1"/>
  <c r="U142" i="1"/>
  <c r="U152" i="1"/>
  <c r="U141" i="1"/>
  <c r="U130" i="1"/>
  <c r="U119" i="1"/>
  <c r="U107" i="1"/>
  <c r="U95" i="1"/>
  <c r="U97" i="1"/>
  <c r="U78" i="1"/>
  <c r="U67" i="1"/>
  <c r="U59" i="1"/>
  <c r="U48" i="1"/>
  <c r="U40" i="1"/>
  <c r="U29" i="1"/>
  <c r="U21" i="1"/>
  <c r="U2" i="1"/>
  <c r="U3" i="1"/>
  <c r="U182" i="1"/>
  <c r="U165" i="1"/>
  <c r="U151" i="1"/>
  <c r="U140" i="1"/>
  <c r="U129" i="1"/>
  <c r="U118" i="1"/>
  <c r="U106" i="1"/>
  <c r="U94" i="1"/>
  <c r="U96" i="1"/>
  <c r="U77" i="1"/>
  <c r="U66" i="1"/>
  <c r="U58" i="1"/>
  <c r="U47" i="1"/>
  <c r="U39" i="1"/>
  <c r="U28" i="1"/>
  <c r="U108" i="1"/>
  <c r="U178" i="1"/>
  <c r="U105" i="1"/>
  <c r="U9" i="1"/>
  <c r="U149" i="1"/>
  <c r="U138" i="1"/>
  <c r="U127" i="1"/>
  <c r="U116" i="1"/>
  <c r="U104" i="1"/>
  <c r="U92" i="1"/>
  <c r="U83" i="1"/>
  <c r="U75" i="1"/>
  <c r="U64" i="1"/>
  <c r="U56" i="1"/>
  <c r="U45" i="1"/>
  <c r="U34" i="1"/>
  <c r="U26" i="1"/>
  <c r="U167" i="1"/>
  <c r="U120" i="1"/>
  <c r="U4" i="1"/>
  <c r="U164" i="1"/>
  <c r="U128" i="1"/>
  <c r="U160" i="1"/>
  <c r="U8" i="1"/>
  <c r="U15" i="1"/>
  <c r="U173" i="1"/>
  <c r="U159" i="1"/>
  <c r="U148" i="1"/>
  <c r="U137" i="1"/>
  <c r="U126" i="1"/>
  <c r="U115" i="1"/>
  <c r="U103" i="1"/>
  <c r="U25" i="1"/>
  <c r="U131" i="1"/>
  <c r="U150" i="1"/>
  <c r="U117" i="1"/>
  <c r="U177" i="1"/>
  <c r="U14" i="1"/>
  <c r="U172" i="1"/>
  <c r="U158" i="1"/>
  <c r="U147" i="1"/>
  <c r="U133" i="1"/>
  <c r="U122" i="1"/>
  <c r="U114" i="1"/>
  <c r="U102" i="1"/>
  <c r="U90" i="1"/>
  <c r="U81" i="1"/>
  <c r="U73" i="1"/>
  <c r="U62" i="1"/>
  <c r="U51" i="1"/>
  <c r="U43" i="1"/>
  <c r="U32" i="1"/>
  <c r="U24" i="1"/>
  <c r="U156" i="1"/>
  <c r="U22" i="1"/>
  <c r="U166" i="1"/>
  <c r="U139" i="1"/>
  <c r="U27" i="1"/>
  <c r="U16" i="1"/>
  <c r="U171" i="1"/>
  <c r="U157" i="1"/>
  <c r="U143" i="1"/>
  <c r="U132" i="1"/>
  <c r="U121" i="1"/>
  <c r="U109" i="1"/>
  <c r="U110" i="1"/>
  <c r="U89" i="1"/>
  <c r="U80" i="1"/>
  <c r="U72" i="1"/>
  <c r="U61" i="1"/>
  <c r="U50" i="1"/>
  <c r="U42" i="1"/>
  <c r="U31" i="1"/>
  <c r="U23" i="1"/>
</calcChain>
</file>

<file path=xl/sharedStrings.xml><?xml version="1.0" encoding="utf-8"?>
<sst xmlns="http://schemas.openxmlformats.org/spreadsheetml/2006/main" count="497" uniqueCount="150">
  <si>
    <t>Filenames</t>
  </si>
  <si>
    <t>Resonant Frequency</t>
  </si>
  <si>
    <t>Loaded Quality Factor</t>
  </si>
  <si>
    <t>Coupling Factor S11</t>
  </si>
  <si>
    <t>Coupling Factor S22</t>
  </si>
  <si>
    <t>Unloaded Quality Factor</t>
  </si>
  <si>
    <t>Percentage of Data Removed</t>
  </si>
  <si>
    <t>output_1_4.s2p</t>
  </si>
  <si>
    <t>output_1_15.s2p</t>
  </si>
  <si>
    <t>output_1_5.s2p</t>
  </si>
  <si>
    <t>output_1_6.s2p</t>
  </si>
  <si>
    <t>output_1_8.s2p</t>
  </si>
  <si>
    <t>output_1_12.s2p</t>
  </si>
  <si>
    <t>output_1_11.s2p</t>
  </si>
  <si>
    <t>output_1_13.s2p</t>
  </si>
  <si>
    <t>output_1_2.s2p</t>
  </si>
  <si>
    <t>output_1_14.s2p</t>
  </si>
  <si>
    <t>output_1_16.s2p</t>
  </si>
  <si>
    <t>output_1_7.s2p</t>
  </si>
  <si>
    <t>output_1_1.s2p</t>
  </si>
  <si>
    <t>output_1_9.s2p</t>
  </si>
  <si>
    <t>output_1_3.s2p</t>
  </si>
  <si>
    <t>output_1_10.s2p</t>
  </si>
  <si>
    <t>output_9_8.s2p</t>
  </si>
  <si>
    <t>output_9_7.s2p</t>
  </si>
  <si>
    <t>output_9_6.s2p</t>
  </si>
  <si>
    <t>output_9_5.s2p</t>
  </si>
  <si>
    <t>output_9_4.s2p</t>
  </si>
  <si>
    <t>output_9_3.s2p</t>
  </si>
  <si>
    <t>output_9_2.s2p</t>
  </si>
  <si>
    <t>output_9_1.s2p</t>
  </si>
  <si>
    <t>output_8_9.s2p</t>
  </si>
  <si>
    <t>output_8_8.s2p</t>
  </si>
  <si>
    <t>output_8_7.s2p</t>
  </si>
  <si>
    <t>output_8_6.s2p</t>
  </si>
  <si>
    <t>output_8_5.s2p</t>
  </si>
  <si>
    <t>output_8_4.s2p</t>
  </si>
  <si>
    <t>output_8_3.s2p</t>
  </si>
  <si>
    <t>output_8_2.s2p</t>
  </si>
  <si>
    <t>output_8_1.s2p</t>
  </si>
  <si>
    <t>output_7_9.s2p</t>
  </si>
  <si>
    <t>output_7_8.s2p</t>
  </si>
  <si>
    <t>output_7_7.s2p</t>
  </si>
  <si>
    <t>output_7_6.s2p</t>
  </si>
  <si>
    <t>output_7_5.s2p</t>
  </si>
  <si>
    <t>output_7_4.s2p</t>
  </si>
  <si>
    <t>output_7_3.s2p</t>
  </si>
  <si>
    <t>output_7_2.s2p</t>
  </si>
  <si>
    <t>output_7_10.s2p</t>
  </si>
  <si>
    <t>output_7_1.s2p</t>
  </si>
  <si>
    <t>output_6_9.s2p</t>
  </si>
  <si>
    <t>output_6_8.s2p</t>
  </si>
  <si>
    <t>output_6_7.s2p</t>
  </si>
  <si>
    <t>output_6_6.s2p</t>
  </si>
  <si>
    <t>output_6_5.s2p</t>
  </si>
  <si>
    <t>output_6_4.s2p</t>
  </si>
  <si>
    <t>output_6_3.s2p</t>
  </si>
  <si>
    <t>output_6_2.s2p</t>
  </si>
  <si>
    <t>output_6_11.s2p</t>
  </si>
  <si>
    <t>output_6_10.s2p</t>
  </si>
  <si>
    <t>output_6_1.s2p</t>
  </si>
  <si>
    <t>output_16_1.s2p</t>
  </si>
  <si>
    <t>output_15_2.s2p</t>
  </si>
  <si>
    <t>output_15_1.s2p</t>
  </si>
  <si>
    <t>output_14_3.s2p</t>
  </si>
  <si>
    <t>output_14_2.s2p</t>
  </si>
  <si>
    <t>output_14_1.s2p</t>
  </si>
  <si>
    <t>output_13_4.s2p</t>
  </si>
  <si>
    <t>output_13_3.s2p</t>
  </si>
  <si>
    <t>output_13_2.s2p</t>
  </si>
  <si>
    <t>output_13_1.s2p</t>
  </si>
  <si>
    <t>output_12_5.s2p</t>
  </si>
  <si>
    <t>output_12_4.s2p</t>
  </si>
  <si>
    <t>output_12_3.s2p</t>
  </si>
  <si>
    <t>output_12_2.s2p</t>
  </si>
  <si>
    <t>output_12_1.s2p</t>
  </si>
  <si>
    <t>output_11_6.s2p</t>
  </si>
  <si>
    <t>output_11_5.s2p</t>
  </si>
  <si>
    <t>output_11_4.s2p</t>
  </si>
  <si>
    <t>output_11_3.s2p</t>
  </si>
  <si>
    <t>output_11_2.s2p</t>
  </si>
  <si>
    <t>output_11_1.s2p</t>
  </si>
  <si>
    <t>output_10_7.s2p</t>
  </si>
  <si>
    <t>output_10_6.s2p</t>
  </si>
  <si>
    <t>output_10_5.s2p</t>
  </si>
  <si>
    <t>output_10_4.s2p</t>
  </si>
  <si>
    <t>output_10_3.s2p</t>
  </si>
  <si>
    <t>output_10_2.s2p</t>
  </si>
  <si>
    <t>output_10_1.s2p</t>
  </si>
  <si>
    <t>output_2_1.s2p</t>
  </si>
  <si>
    <t>output_2_2.s2p</t>
  </si>
  <si>
    <t>output_2_3.s2p</t>
  </si>
  <si>
    <t>output_2_4.s2p</t>
  </si>
  <si>
    <t>output_2_5.s2p</t>
  </si>
  <si>
    <t>output_2_6.s2p</t>
  </si>
  <si>
    <t>output_2_7.s2p</t>
  </si>
  <si>
    <t>output_2_8.s2p</t>
  </si>
  <si>
    <t>output_2_9.s2p</t>
  </si>
  <si>
    <t>output_2_10.s2p</t>
  </si>
  <si>
    <t>output_2_11.s2p</t>
  </si>
  <si>
    <t>output_2_12.s2p</t>
  </si>
  <si>
    <t>output_2_13.s2p</t>
  </si>
  <si>
    <t>output_2_14.s2p</t>
  </si>
  <si>
    <t>output_2_15.s2p</t>
  </si>
  <si>
    <t>output_3_1.s2p</t>
  </si>
  <si>
    <t>output_3_2.s2p</t>
  </si>
  <si>
    <t>output_3_3.s2p</t>
  </si>
  <si>
    <t>output_3_4.s2p</t>
  </si>
  <si>
    <t>output_3_5.s2p</t>
  </si>
  <si>
    <t>output_3_6.s2p</t>
  </si>
  <si>
    <t>output_3_7.s2p</t>
  </si>
  <si>
    <t>output_3_8.s2p</t>
  </si>
  <si>
    <t>output_3_9.s2p</t>
  </si>
  <si>
    <t>output_3_10.s2p</t>
  </si>
  <si>
    <t>output_3_11.s2p</t>
  </si>
  <si>
    <t>output_3_12.s2p</t>
  </si>
  <si>
    <t>output_3_13.s2p</t>
  </si>
  <si>
    <t>output_3_14.s2p</t>
  </si>
  <si>
    <t>output_4_1.s2p</t>
  </si>
  <si>
    <t>output_4_2.s2p</t>
  </si>
  <si>
    <t>output_4_3.s2p</t>
  </si>
  <si>
    <t>output_4_4.s2p</t>
  </si>
  <si>
    <t>output_4_5.s2p</t>
  </si>
  <si>
    <t>output_4_6.s2p</t>
  </si>
  <si>
    <t>output_4_7.s2p</t>
  </si>
  <si>
    <t>output_4_8.s2p</t>
  </si>
  <si>
    <t>output_4_9.s2p</t>
  </si>
  <si>
    <t>output_4_10.s2p</t>
  </si>
  <si>
    <t>output_4_11.s2p</t>
  </si>
  <si>
    <t>output_4_12.s2p</t>
  </si>
  <si>
    <t>output_4_13.s2p</t>
  </si>
  <si>
    <t>output_5_1.s2p</t>
  </si>
  <si>
    <t>output_5_2.s2p</t>
  </si>
  <si>
    <t>output_5_3.s2p</t>
  </si>
  <si>
    <t>output_5_4.s2p</t>
  </si>
  <si>
    <t>output_5_5.s2p</t>
  </si>
  <si>
    <t>output_5_6.s2p</t>
  </si>
  <si>
    <t>output_5_7.s2p</t>
  </si>
  <si>
    <t>output_5_8.s2p</t>
  </si>
  <si>
    <t>output_5_9.s2p</t>
  </si>
  <si>
    <t>output_5_10.s2p</t>
  </si>
  <si>
    <t>output_5_11.s2p</t>
  </si>
  <si>
    <t>output_5_12.s2p</t>
  </si>
  <si>
    <t>Q REL ERROR</t>
  </si>
  <si>
    <t xml:space="preserve">Q REL ERROR </t>
  </si>
  <si>
    <t>beta theory</t>
  </si>
  <si>
    <t>Q0 with beta theory</t>
  </si>
  <si>
    <t>Direct comparison If NewCode &lt; Old Code = True</t>
  </si>
  <si>
    <t>Beta1 Rel Error</t>
  </si>
  <si>
    <t>Beta 2 Rel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</si>
</sst>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sz val="1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 applyFill="1"/>
  </cellXfs>
  <cellStyles count="1">
    <cellStyle name="Standard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W182"/>
  <sheetViews>
    <sheetView tabSelected="1" zoomScale="64" workbookViewId="0">
      <selection activeCell="Y17" sqref="Y17"/>
    </sheetView>
  </sheetViews>
  <sheetFormatPr baseColWidth="10" defaultColWidth="9" defaultRowHeight="15.75" x14ac:dyDescent="0.25"/>
  <cols>
    <col min="1" max="1" width="14.875" bestFit="1" customWidth="1"/>
    <col min="2" max="2" width="17.625" bestFit="1" customWidth="1"/>
    <col min="3" max="3" width="19" bestFit="1" customWidth="1"/>
    <col min="4" max="5" width="17.125" bestFit="1" customWidth="1"/>
    <col min="6" max="6" width="21.125" bestFit="1" customWidth="1"/>
    <col min="7" max="7" width="24.75" bestFit="1" customWidth="1"/>
    <col min="8" max="10" width="14.375" customWidth="1"/>
    <col min="11" max="11" width="18.25" customWidth="1"/>
    <col min="12" max="12" width="34.375" customWidth="1"/>
    <col min="13" max="13" width="16" bestFit="1" customWidth="1"/>
    <col min="14" max="14" width="19.875" bestFit="1" customWidth="1"/>
    <col min="15" max="15" width="21.25" bestFit="1" customWidth="1"/>
    <col min="16" max="17" width="19" bestFit="1" customWidth="1"/>
    <col min="18" max="18" width="23.75" bestFit="1" customWidth="1"/>
    <col min="19" max="19" width="28" bestFit="1" customWidth="1"/>
    <col min="20" max="20" width="14.625" bestFit="1" customWidth="1"/>
    <col min="21" max="21" width="45.5" bestFit="1" customWidth="1"/>
    <col min="22" max="22" width="14.25" bestFit="1" customWidth="1"/>
    <col min="23" max="23" width="17.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143</v>
      </c>
      <c r="I1" t="s">
        <v>145</v>
      </c>
      <c r="J1" t="s">
        <v>145</v>
      </c>
      <c r="K1" t="s">
        <v>146</v>
      </c>
      <c r="M1" t="s">
        <v>0</v>
      </c>
      <c r="N1" t="s">
        <v>1</v>
      </c>
      <c r="O1" t="s">
        <v>2</v>
      </c>
      <c r="P1" t="s">
        <v>3</v>
      </c>
      <c r="Q1" t="s">
        <v>4</v>
      </c>
      <c r="R1" t="s">
        <v>5</v>
      </c>
      <c r="S1" t="s">
        <v>6</v>
      </c>
      <c r="T1" t="s">
        <v>144</v>
      </c>
      <c r="U1" t="s">
        <v>147</v>
      </c>
      <c r="V1" t="s">
        <v>148</v>
      </c>
      <c r="W1" t="s">
        <v>149</v>
      </c>
    </row>
    <row r="2" spans="1:23" x14ac:dyDescent="0.25">
      <c r="A2" t="s">
        <v>19</v>
      </c>
      <c r="B2">
        <v>999999999.99999976</v>
      </c>
      <c r="C2">
        <v>49.75</v>
      </c>
      <c r="D2">
        <v>100</v>
      </c>
      <c r="E2">
        <v>100</v>
      </c>
      <c r="F2">
        <v>10000</v>
      </c>
      <c r="G2">
        <v>0</v>
      </c>
      <c r="H2">
        <f>ABS(10000-F2)/10000</f>
        <v>0</v>
      </c>
      <c r="I2">
        <v>100</v>
      </c>
      <c r="J2">
        <v>100</v>
      </c>
      <c r="K2">
        <f>C2 *(1+I2+J2)</f>
        <v>9999.75</v>
      </c>
      <c r="M2" t="s">
        <v>19</v>
      </c>
      <c r="N2">
        <v>999999999.99999976</v>
      </c>
      <c r="O2">
        <v>49.75</v>
      </c>
      <c r="P2">
        <v>100</v>
      </c>
      <c r="Q2">
        <v>100</v>
      </c>
      <c r="R2">
        <v>10000</v>
      </c>
      <c r="S2">
        <v>0</v>
      </c>
      <c r="T2">
        <f>ABS(10000-R2)/10000</f>
        <v>0</v>
      </c>
      <c r="U2" t="b">
        <f>T2&lt;=H2</f>
        <v>1</v>
      </c>
      <c r="V2">
        <f>ABS(I2-P2)/I2</f>
        <v>0</v>
      </c>
      <c r="W2">
        <f>ABS(J2-Q2)/J2</f>
        <v>0</v>
      </c>
    </row>
    <row r="3" spans="1:23" x14ac:dyDescent="0.25">
      <c r="A3" t="s">
        <v>15</v>
      </c>
      <c r="B3">
        <v>1000000000</v>
      </c>
      <c r="C3">
        <v>67.84</v>
      </c>
      <c r="D3">
        <v>0.88488999999999995</v>
      </c>
      <c r="E3">
        <v>0.86621999999999999</v>
      </c>
      <c r="F3">
        <v>186.62</v>
      </c>
      <c r="G3">
        <v>0</v>
      </c>
      <c r="H3">
        <f t="shared" ref="H3:H66" si="0">ABS(10000-F3)/10000</f>
        <v>0.98133799999999993</v>
      </c>
      <c r="I3">
        <v>100</v>
      </c>
      <c r="J3">
        <v>46.415888000000002</v>
      </c>
      <c r="K3">
        <f t="shared" ref="K3:K17" si="1">C3 *(1+I3+J3)</f>
        <v>10000.69384192</v>
      </c>
      <c r="M3" t="s">
        <v>15</v>
      </c>
      <c r="N3">
        <v>1000000000</v>
      </c>
      <c r="O3">
        <v>67.84</v>
      </c>
      <c r="P3">
        <v>100</v>
      </c>
      <c r="Q3">
        <v>46.415889999999997</v>
      </c>
      <c r="R3">
        <v>10000</v>
      </c>
      <c r="S3">
        <v>0</v>
      </c>
      <c r="T3">
        <f t="shared" ref="T3:T66" si="2">ABS(10000-R3)/10000</f>
        <v>0</v>
      </c>
      <c r="U3" t="b">
        <f>T3&lt;=H10</f>
        <v>1</v>
      </c>
      <c r="V3">
        <f t="shared" ref="V3:V66" si="3">ABS(I3-P3)/I3</f>
        <v>0</v>
      </c>
      <c r="W3">
        <f t="shared" ref="W3:W66" si="4">ABS(J3-Q3)/J3</f>
        <v>4.3088694003882579E-8</v>
      </c>
    </row>
    <row r="4" spans="1:23" x14ac:dyDescent="0.25">
      <c r="A4" t="s">
        <v>21</v>
      </c>
      <c r="B4">
        <v>999999999.99999988</v>
      </c>
      <c r="C4">
        <v>81.599999999999994</v>
      </c>
      <c r="D4">
        <v>0.28734999999999999</v>
      </c>
      <c r="E4">
        <v>0.27461000000000002</v>
      </c>
      <c r="F4">
        <v>127.46</v>
      </c>
      <c r="G4">
        <v>0</v>
      </c>
      <c r="H4">
        <f t="shared" si="0"/>
        <v>0.98725400000000008</v>
      </c>
      <c r="I4">
        <v>100</v>
      </c>
      <c r="J4">
        <v>21.544346999999998</v>
      </c>
      <c r="K4">
        <f t="shared" si="1"/>
        <v>9999.6187152000002</v>
      </c>
      <c r="M4" t="s">
        <v>21</v>
      </c>
      <c r="N4">
        <v>999999999.99999988</v>
      </c>
      <c r="O4">
        <v>81.599999999999994</v>
      </c>
      <c r="P4">
        <v>100</v>
      </c>
      <c r="Q4">
        <v>21.544350000000001</v>
      </c>
      <c r="R4">
        <v>10000</v>
      </c>
      <c r="S4">
        <v>0</v>
      </c>
      <c r="T4">
        <f t="shared" si="2"/>
        <v>0</v>
      </c>
      <c r="U4" t="b">
        <f>T4&lt;=H11</f>
        <v>1</v>
      </c>
      <c r="V4">
        <f t="shared" si="3"/>
        <v>0</v>
      </c>
      <c r="W4">
        <f t="shared" si="4"/>
        <v>1.3924766450725423E-7</v>
      </c>
    </row>
    <row r="5" spans="1:23" x14ac:dyDescent="0.25">
      <c r="A5" t="s">
        <v>7</v>
      </c>
      <c r="B5">
        <v>1000000000.0000002</v>
      </c>
      <c r="C5">
        <v>90.09</v>
      </c>
      <c r="D5">
        <v>0.12222</v>
      </c>
      <c r="E5">
        <v>0.10986</v>
      </c>
      <c r="F5">
        <v>111</v>
      </c>
      <c r="G5">
        <v>0</v>
      </c>
      <c r="H5">
        <f t="shared" si="0"/>
        <v>0.9889</v>
      </c>
      <c r="I5">
        <v>100</v>
      </c>
      <c r="J5">
        <v>10</v>
      </c>
      <c r="K5">
        <f t="shared" si="1"/>
        <v>9999.99</v>
      </c>
      <c r="M5" t="s">
        <v>7</v>
      </c>
      <c r="N5">
        <v>1000000000.0000001</v>
      </c>
      <c r="O5">
        <v>90.09</v>
      </c>
      <c r="P5">
        <v>100</v>
      </c>
      <c r="Q5">
        <v>10</v>
      </c>
      <c r="R5">
        <v>10000</v>
      </c>
      <c r="S5">
        <v>0</v>
      </c>
      <c r="T5">
        <f t="shared" si="2"/>
        <v>0</v>
      </c>
      <c r="U5" t="b">
        <f>T5&lt;=H12</f>
        <v>1</v>
      </c>
      <c r="V5">
        <f t="shared" si="3"/>
        <v>0</v>
      </c>
      <c r="W5">
        <f t="shared" si="4"/>
        <v>0</v>
      </c>
    </row>
    <row r="6" spans="1:23" x14ac:dyDescent="0.25">
      <c r="A6" t="s">
        <v>9</v>
      </c>
      <c r="B6">
        <v>999999999.99999976</v>
      </c>
      <c r="C6">
        <v>94.66</v>
      </c>
      <c r="D6">
        <v>5.9159999999999997E-2</v>
      </c>
      <c r="E6">
        <v>4.8099999999999997E-2</v>
      </c>
      <c r="F6">
        <v>104.81</v>
      </c>
      <c r="G6">
        <v>0</v>
      </c>
      <c r="H6">
        <f t="shared" si="0"/>
        <v>0.98951900000000004</v>
      </c>
      <c r="I6">
        <v>100</v>
      </c>
      <c r="J6">
        <v>4.6415889999999997</v>
      </c>
      <c r="K6">
        <f t="shared" si="1"/>
        <v>10000.03281474</v>
      </c>
      <c r="M6" t="s">
        <v>9</v>
      </c>
      <c r="N6">
        <v>999999999.99999988</v>
      </c>
      <c r="O6">
        <v>94.66</v>
      </c>
      <c r="P6">
        <v>100</v>
      </c>
      <c r="Q6">
        <v>4.6415899999999999</v>
      </c>
      <c r="R6">
        <v>10000</v>
      </c>
      <c r="S6">
        <v>0</v>
      </c>
      <c r="T6">
        <f t="shared" si="2"/>
        <v>0</v>
      </c>
      <c r="U6" t="b">
        <f>T6&lt;=H13</f>
        <v>1</v>
      </c>
      <c r="V6">
        <f t="shared" si="3"/>
        <v>0</v>
      </c>
      <c r="W6">
        <f t="shared" si="4"/>
        <v>2.1544346131029224E-7</v>
      </c>
    </row>
    <row r="7" spans="1:23" x14ac:dyDescent="0.25">
      <c r="A7" t="s">
        <v>10</v>
      </c>
      <c r="B7">
        <v>1000000000</v>
      </c>
      <c r="C7">
        <v>96.94</v>
      </c>
      <c r="D7">
        <v>3.2239999999999998E-2</v>
      </c>
      <c r="E7">
        <v>2.1749999999999999E-2</v>
      </c>
      <c r="F7">
        <v>102.18</v>
      </c>
      <c r="G7">
        <v>0</v>
      </c>
      <c r="H7">
        <f t="shared" si="0"/>
        <v>0.98978199999999994</v>
      </c>
      <c r="I7">
        <v>100</v>
      </c>
      <c r="J7">
        <v>2.1544349999999999</v>
      </c>
      <c r="K7">
        <f t="shared" si="1"/>
        <v>9999.7909288999999</v>
      </c>
      <c r="M7" t="s">
        <v>10</v>
      </c>
      <c r="N7">
        <v>1000000000</v>
      </c>
      <c r="O7">
        <v>96.94</v>
      </c>
      <c r="P7">
        <v>100</v>
      </c>
      <c r="Q7">
        <v>2.1544300000000001</v>
      </c>
      <c r="R7">
        <v>10000</v>
      </c>
      <c r="S7">
        <v>0</v>
      </c>
      <c r="T7">
        <f t="shared" si="2"/>
        <v>0</v>
      </c>
      <c r="U7" t="b">
        <f>T7&lt;=H14</f>
        <v>1</v>
      </c>
      <c r="V7">
        <f t="shared" si="3"/>
        <v>0</v>
      </c>
      <c r="W7">
        <f t="shared" si="4"/>
        <v>2.3207940828155464E-6</v>
      </c>
    </row>
    <row r="8" spans="1:23" x14ac:dyDescent="0.25">
      <c r="A8" t="s">
        <v>18</v>
      </c>
      <c r="B8">
        <v>1000000000</v>
      </c>
      <c r="C8">
        <v>98.04</v>
      </c>
      <c r="D8">
        <v>2.0199999999999999E-2</v>
      </c>
      <c r="E8">
        <v>9.9799999999999993E-3</v>
      </c>
      <c r="F8">
        <v>101</v>
      </c>
      <c r="G8">
        <v>0</v>
      </c>
      <c r="H8">
        <f>ABS(10000-F8)/10000</f>
        <v>0.9899</v>
      </c>
      <c r="I8">
        <v>100</v>
      </c>
      <c r="J8">
        <v>1</v>
      </c>
      <c r="K8">
        <f t="shared" si="1"/>
        <v>10000.08</v>
      </c>
      <c r="M8" t="s">
        <v>18</v>
      </c>
      <c r="N8">
        <v>1000000000.0000001</v>
      </c>
      <c r="O8">
        <v>98.04</v>
      </c>
      <c r="P8">
        <v>100</v>
      </c>
      <c r="Q8">
        <v>1</v>
      </c>
      <c r="R8">
        <v>10000</v>
      </c>
      <c r="S8">
        <v>0</v>
      </c>
      <c r="T8">
        <f t="shared" si="2"/>
        <v>0</v>
      </c>
      <c r="U8" t="b">
        <f>T8&lt;=H15</f>
        <v>1</v>
      </c>
      <c r="V8">
        <f t="shared" si="3"/>
        <v>0</v>
      </c>
      <c r="W8">
        <f t="shared" si="4"/>
        <v>0</v>
      </c>
    </row>
    <row r="9" spans="1:23" x14ac:dyDescent="0.25">
      <c r="A9" t="s">
        <v>11</v>
      </c>
      <c r="B9">
        <v>1000000000.0000002</v>
      </c>
      <c r="C9">
        <v>98.56</v>
      </c>
      <c r="D9">
        <v>1.4710000000000001E-2</v>
      </c>
      <c r="E9">
        <v>4.6100000000000004E-3</v>
      </c>
      <c r="F9">
        <v>100.46</v>
      </c>
      <c r="G9">
        <v>0</v>
      </c>
      <c r="H9">
        <f t="shared" si="0"/>
        <v>0.98995400000000011</v>
      </c>
      <c r="I9">
        <v>100</v>
      </c>
      <c r="J9">
        <v>0.46415899999999999</v>
      </c>
      <c r="K9">
        <f t="shared" si="1"/>
        <v>10000.30751104</v>
      </c>
      <c r="M9" t="s">
        <v>11</v>
      </c>
      <c r="N9">
        <v>1000000000.0000002</v>
      </c>
      <c r="O9">
        <v>98.56</v>
      </c>
      <c r="P9">
        <v>100</v>
      </c>
      <c r="Q9">
        <v>0.46416000000000002</v>
      </c>
      <c r="R9">
        <v>10000</v>
      </c>
      <c r="S9">
        <v>0</v>
      </c>
      <c r="T9">
        <f t="shared" si="2"/>
        <v>0</v>
      </c>
      <c r="U9" t="b">
        <f>T9&lt;=H16</f>
        <v>1</v>
      </c>
      <c r="V9">
        <f t="shared" si="3"/>
        <v>0</v>
      </c>
      <c r="W9">
        <f t="shared" si="4"/>
        <v>2.154434148704982E-6</v>
      </c>
    </row>
    <row r="10" spans="1:23" x14ac:dyDescent="0.25">
      <c r="A10" t="s">
        <v>20</v>
      </c>
      <c r="B10">
        <v>999999999.99999917</v>
      </c>
      <c r="C10">
        <v>98.8</v>
      </c>
      <c r="D10">
        <v>1.218E-2</v>
      </c>
      <c r="E10">
        <v>2.1299999999999999E-3</v>
      </c>
      <c r="F10">
        <v>100.21</v>
      </c>
      <c r="G10">
        <v>0</v>
      </c>
      <c r="H10">
        <f t="shared" si="0"/>
        <v>0.98997900000000005</v>
      </c>
      <c r="I10">
        <v>100</v>
      </c>
      <c r="J10">
        <v>0.215443</v>
      </c>
      <c r="K10">
        <f t="shared" si="1"/>
        <v>10000.085768399998</v>
      </c>
      <c r="M10" t="s">
        <v>20</v>
      </c>
      <c r="N10">
        <v>999999999.99999964</v>
      </c>
      <c r="O10">
        <v>98.8</v>
      </c>
      <c r="P10">
        <v>100</v>
      </c>
      <c r="Q10">
        <v>0.21543999999999999</v>
      </c>
      <c r="R10">
        <v>10000</v>
      </c>
      <c r="S10">
        <v>0</v>
      </c>
      <c r="T10">
        <f t="shared" si="2"/>
        <v>0</v>
      </c>
      <c r="U10" t="b">
        <f>T10&lt;=H17</f>
        <v>1</v>
      </c>
      <c r="V10">
        <f t="shared" si="3"/>
        <v>0</v>
      </c>
      <c r="W10">
        <f t="shared" si="4"/>
        <v>1.3924796814020416E-5</v>
      </c>
    </row>
    <row r="11" spans="1:23" x14ac:dyDescent="0.25">
      <c r="A11" t="s">
        <v>22</v>
      </c>
      <c r="B11">
        <v>999999999.99999952</v>
      </c>
      <c r="C11">
        <v>98.91</v>
      </c>
      <c r="D11">
        <v>1.1010000000000001E-2</v>
      </c>
      <c r="E11">
        <v>9.8999999999999999E-4</v>
      </c>
      <c r="F11">
        <v>100.1</v>
      </c>
      <c r="G11">
        <v>0</v>
      </c>
      <c r="H11">
        <f t="shared" si="0"/>
        <v>0.98998999999999993</v>
      </c>
      <c r="I11">
        <v>100</v>
      </c>
      <c r="J11">
        <v>0.1</v>
      </c>
      <c r="K11">
        <f t="shared" si="1"/>
        <v>9999.8009999999995</v>
      </c>
      <c r="M11" t="s">
        <v>22</v>
      </c>
      <c r="N11">
        <v>999999999.9999994</v>
      </c>
      <c r="O11">
        <v>98.91</v>
      </c>
      <c r="P11">
        <v>100</v>
      </c>
      <c r="Q11">
        <v>0.1</v>
      </c>
      <c r="R11">
        <v>10000</v>
      </c>
      <c r="S11">
        <v>0</v>
      </c>
      <c r="T11">
        <f t="shared" si="2"/>
        <v>0</v>
      </c>
      <c r="U11" t="b">
        <f>T11&lt;=H3</f>
        <v>1</v>
      </c>
      <c r="V11">
        <f t="shared" si="3"/>
        <v>0</v>
      </c>
      <c r="W11">
        <f t="shared" si="4"/>
        <v>0</v>
      </c>
    </row>
    <row r="12" spans="1:23" x14ac:dyDescent="0.25">
      <c r="A12" t="s">
        <v>13</v>
      </c>
      <c r="B12">
        <v>999999999.99999869</v>
      </c>
      <c r="C12">
        <v>98.96</v>
      </c>
      <c r="D12">
        <v>1.047E-2</v>
      </c>
      <c r="E12">
        <v>4.6000000000000001E-4</v>
      </c>
      <c r="F12">
        <v>100.05</v>
      </c>
      <c r="G12">
        <v>0</v>
      </c>
      <c r="H12">
        <f t="shared" si="0"/>
        <v>0.98999500000000007</v>
      </c>
      <c r="I12">
        <v>100</v>
      </c>
      <c r="J12">
        <v>4.6415999999999999E-2</v>
      </c>
      <c r="K12">
        <f t="shared" si="1"/>
        <v>9999.5533273599995</v>
      </c>
      <c r="M12" t="s">
        <v>13</v>
      </c>
      <c r="N12">
        <v>999999999.99999988</v>
      </c>
      <c r="O12">
        <v>98.96</v>
      </c>
      <c r="P12">
        <v>100</v>
      </c>
      <c r="Q12">
        <v>4.6420000000000003E-2</v>
      </c>
      <c r="R12">
        <v>10000</v>
      </c>
      <c r="S12">
        <v>0</v>
      </c>
      <c r="T12">
        <f t="shared" si="2"/>
        <v>0</v>
      </c>
      <c r="U12" t="b">
        <f>T12&lt;=H4</f>
        <v>1</v>
      </c>
      <c r="V12">
        <f t="shared" si="3"/>
        <v>0</v>
      </c>
      <c r="W12">
        <f t="shared" si="4"/>
        <v>8.6177180282747334E-5</v>
      </c>
    </row>
    <row r="13" spans="1:23" x14ac:dyDescent="0.25">
      <c r="A13" t="s">
        <v>12</v>
      </c>
      <c r="B13">
        <v>999999999.99999821</v>
      </c>
      <c r="C13">
        <v>98.99</v>
      </c>
      <c r="D13">
        <v>1.022E-2</v>
      </c>
      <c r="E13">
        <v>2.1000000000000001E-4</v>
      </c>
      <c r="F13">
        <v>100.02</v>
      </c>
      <c r="G13">
        <v>0</v>
      </c>
      <c r="H13">
        <f t="shared" si="0"/>
        <v>0.98999799999999993</v>
      </c>
      <c r="I13">
        <v>100</v>
      </c>
      <c r="J13">
        <v>2.1544000000000001E-2</v>
      </c>
      <c r="K13">
        <f t="shared" si="1"/>
        <v>10000.122640560001</v>
      </c>
      <c r="M13" t="s">
        <v>12</v>
      </c>
      <c r="N13">
        <v>999999999.99999821</v>
      </c>
      <c r="O13">
        <v>98.99</v>
      </c>
      <c r="P13">
        <v>100.00001</v>
      </c>
      <c r="Q13">
        <v>2.154E-2</v>
      </c>
      <c r="R13">
        <v>10000</v>
      </c>
      <c r="S13">
        <v>0</v>
      </c>
      <c r="T13">
        <f t="shared" si="2"/>
        <v>0</v>
      </c>
      <c r="U13" t="b">
        <f>T13&lt;=H5</f>
        <v>1</v>
      </c>
      <c r="V13">
        <f t="shared" si="3"/>
        <v>1.0000000003174136E-7</v>
      </c>
      <c r="W13">
        <f t="shared" si="4"/>
        <v>1.8566654288899604E-4</v>
      </c>
    </row>
    <row r="14" spans="1:23" x14ac:dyDescent="0.25">
      <c r="A14" t="s">
        <v>14</v>
      </c>
      <c r="B14">
        <v>999999999.99999917</v>
      </c>
      <c r="C14">
        <v>99</v>
      </c>
      <c r="D14">
        <v>1.01E-2</v>
      </c>
      <c r="E14">
        <v>1E-4</v>
      </c>
      <c r="F14">
        <v>100.01</v>
      </c>
      <c r="G14">
        <v>0</v>
      </c>
      <c r="H14">
        <f t="shared" si="0"/>
        <v>0.98999899999999996</v>
      </c>
      <c r="I14">
        <v>100</v>
      </c>
      <c r="J14">
        <v>0.01</v>
      </c>
      <c r="K14">
        <f t="shared" si="1"/>
        <v>9999.99</v>
      </c>
      <c r="M14" t="s">
        <v>14</v>
      </c>
      <c r="N14">
        <v>999999999.99999857</v>
      </c>
      <c r="O14">
        <v>99</v>
      </c>
      <c r="P14">
        <v>99.999989999999997</v>
      </c>
      <c r="Q14">
        <v>0.01</v>
      </c>
      <c r="R14">
        <v>10000</v>
      </c>
      <c r="S14">
        <v>0</v>
      </c>
      <c r="T14">
        <f t="shared" si="2"/>
        <v>0</v>
      </c>
      <c r="U14" t="b">
        <f>T14&lt;=H6</f>
        <v>1</v>
      </c>
      <c r="V14">
        <f t="shared" si="3"/>
        <v>1.0000000003174136E-7</v>
      </c>
      <c r="W14">
        <f t="shared" si="4"/>
        <v>0</v>
      </c>
    </row>
    <row r="15" spans="1:23" x14ac:dyDescent="0.25">
      <c r="A15" t="s">
        <v>16</v>
      </c>
      <c r="B15">
        <v>999999999.99999976</v>
      </c>
      <c r="C15">
        <v>99.01</v>
      </c>
      <c r="D15">
        <v>1.005E-2</v>
      </c>
      <c r="E15">
        <v>5.0000000000000002E-5</v>
      </c>
      <c r="F15">
        <v>100</v>
      </c>
      <c r="G15">
        <v>0</v>
      </c>
      <c r="H15">
        <f t="shared" si="0"/>
        <v>0.99</v>
      </c>
      <c r="I15">
        <v>100</v>
      </c>
      <c r="J15">
        <v>4.6420000000000003E-3</v>
      </c>
      <c r="K15">
        <f t="shared" si="1"/>
        <v>10000.469604420001</v>
      </c>
      <c r="M15" t="s">
        <v>16</v>
      </c>
      <c r="N15">
        <v>1000000000</v>
      </c>
      <c r="O15">
        <v>99.01</v>
      </c>
      <c r="P15">
        <v>99.999780000000001</v>
      </c>
      <c r="Q15">
        <v>4.64E-3</v>
      </c>
      <c r="R15">
        <v>9999.98</v>
      </c>
      <c r="S15">
        <v>0</v>
      </c>
      <c r="T15">
        <f t="shared" si="2"/>
        <v>2.0000000000436556E-6</v>
      </c>
      <c r="U15" t="b">
        <f>T15&lt;=H7</f>
        <v>1</v>
      </c>
      <c r="V15">
        <f t="shared" si="3"/>
        <v>2.1999999999877673E-6</v>
      </c>
      <c r="W15">
        <f t="shared" si="4"/>
        <v>4.3084877208105675E-4</v>
      </c>
    </row>
    <row r="16" spans="1:23" x14ac:dyDescent="0.25">
      <c r="A16" t="s">
        <v>8</v>
      </c>
      <c r="B16">
        <v>999999999.99999416</v>
      </c>
      <c r="C16">
        <v>99.01</v>
      </c>
      <c r="D16">
        <v>1.0019999999999999E-2</v>
      </c>
      <c r="E16">
        <v>2.0000000000000002E-5</v>
      </c>
      <c r="F16">
        <v>100</v>
      </c>
      <c r="G16">
        <v>0</v>
      </c>
      <c r="H16">
        <f t="shared" si="0"/>
        <v>0.99</v>
      </c>
      <c r="I16">
        <v>100</v>
      </c>
      <c r="J16">
        <v>2.1540000000000001E-3</v>
      </c>
      <c r="K16">
        <f t="shared" si="1"/>
        <v>10000.223267540001</v>
      </c>
      <c r="M16" t="s">
        <v>8</v>
      </c>
      <c r="N16">
        <v>999999999.99999416</v>
      </c>
      <c r="O16">
        <v>99.01</v>
      </c>
      <c r="P16">
        <v>100.00064</v>
      </c>
      <c r="Q16">
        <v>2.16E-3</v>
      </c>
      <c r="R16">
        <v>10000.06</v>
      </c>
      <c r="S16">
        <v>0</v>
      </c>
      <c r="T16">
        <f t="shared" si="2"/>
        <v>5.9999999999490681E-6</v>
      </c>
      <c r="U16" t="b">
        <f>T16&lt;=H8</f>
        <v>1</v>
      </c>
      <c r="V16">
        <f t="shared" si="3"/>
        <v>6.4000000000419278E-6</v>
      </c>
      <c r="W16">
        <f t="shared" si="4"/>
        <v>2.7855153203342289E-3</v>
      </c>
    </row>
    <row r="17" spans="1:23" x14ac:dyDescent="0.25">
      <c r="A17" t="s">
        <v>17</v>
      </c>
      <c r="B17">
        <v>999999999.99999619</v>
      </c>
      <c r="C17">
        <v>99.01</v>
      </c>
      <c r="D17">
        <v>1.001E-2</v>
      </c>
      <c r="E17">
        <v>1.0000000000000001E-5</v>
      </c>
      <c r="F17">
        <v>100</v>
      </c>
      <c r="G17">
        <v>0</v>
      </c>
      <c r="H17">
        <f t="shared" si="0"/>
        <v>0.99</v>
      </c>
      <c r="I17">
        <v>100</v>
      </c>
      <c r="J17">
        <v>1E-3</v>
      </c>
      <c r="K17">
        <f t="shared" si="1"/>
        <v>10000.10901</v>
      </c>
      <c r="M17" t="s">
        <v>17</v>
      </c>
      <c r="N17">
        <v>999999999.9999963</v>
      </c>
      <c r="O17">
        <v>99.01</v>
      </c>
      <c r="P17">
        <v>100.00409000000001</v>
      </c>
      <c r="Q17">
        <v>1.0399999999999999E-3</v>
      </c>
      <c r="R17">
        <v>10000.41</v>
      </c>
      <c r="S17">
        <v>0</v>
      </c>
      <c r="T17">
        <f t="shared" si="2"/>
        <v>4.0999999999985445E-5</v>
      </c>
      <c r="U17" t="b">
        <f>T17&lt;=H9</f>
        <v>1</v>
      </c>
      <c r="V17">
        <f t="shared" si="3"/>
        <v>4.0900000000050339E-5</v>
      </c>
      <c r="W17">
        <f t="shared" si="4"/>
        <v>3.999999999999989E-2</v>
      </c>
    </row>
    <row r="20" spans="1:23" x14ac:dyDescent="0.25">
      <c r="A20" t="s">
        <v>0</v>
      </c>
      <c r="B20" t="s">
        <v>1</v>
      </c>
      <c r="C20" t="s">
        <v>2</v>
      </c>
      <c r="D20" t="s">
        <v>3</v>
      </c>
      <c r="E20" t="s">
        <v>4</v>
      </c>
      <c r="F20" t="s">
        <v>5</v>
      </c>
      <c r="G20" t="s">
        <v>6</v>
      </c>
      <c r="M20" t="s">
        <v>0</v>
      </c>
      <c r="N20" t="s">
        <v>1</v>
      </c>
      <c r="O20" t="s">
        <v>2</v>
      </c>
      <c r="P20" t="s">
        <v>3</v>
      </c>
      <c r="Q20" t="s">
        <v>4</v>
      </c>
      <c r="R20" t="s">
        <v>5</v>
      </c>
      <c r="S20" t="s">
        <v>6</v>
      </c>
    </row>
    <row r="21" spans="1:23" x14ac:dyDescent="0.25">
      <c r="A21" t="s">
        <v>89</v>
      </c>
      <c r="B21">
        <v>1000000000</v>
      </c>
      <c r="C21">
        <v>106.57</v>
      </c>
      <c r="D21">
        <v>46.415889999999997</v>
      </c>
      <c r="E21">
        <v>46.415889999999997</v>
      </c>
      <c r="F21">
        <v>10000</v>
      </c>
      <c r="G21">
        <v>0</v>
      </c>
      <c r="H21">
        <f t="shared" si="0"/>
        <v>0</v>
      </c>
      <c r="I21">
        <v>46.415888000000002</v>
      </c>
      <c r="J21">
        <v>46.415888000000002</v>
      </c>
      <c r="K21">
        <f>C21*(1+I21+J21)</f>
        <v>9999.6523683199994</v>
      </c>
      <c r="M21" t="s">
        <v>89</v>
      </c>
      <c r="N21">
        <v>999999999.99999988</v>
      </c>
      <c r="O21">
        <v>106.57</v>
      </c>
      <c r="P21">
        <v>46.415889999999997</v>
      </c>
      <c r="Q21">
        <v>46.415889999999997</v>
      </c>
      <c r="R21">
        <v>10000</v>
      </c>
      <c r="S21">
        <v>0</v>
      </c>
      <c r="T21">
        <f t="shared" si="2"/>
        <v>0</v>
      </c>
      <c r="U21" t="b">
        <f>T21&lt;=H21</f>
        <v>1</v>
      </c>
      <c r="V21">
        <f t="shared" si="3"/>
        <v>4.3088694003882579E-8</v>
      </c>
      <c r="W21">
        <f t="shared" si="4"/>
        <v>4.3088694003882579E-8</v>
      </c>
    </row>
    <row r="22" spans="1:23" x14ac:dyDescent="0.25">
      <c r="A22" t="s">
        <v>90</v>
      </c>
      <c r="B22">
        <v>1000000000</v>
      </c>
      <c r="C22">
        <v>145.01</v>
      </c>
      <c r="D22">
        <v>0.90642999999999996</v>
      </c>
      <c r="E22">
        <v>0.86621999999999999</v>
      </c>
      <c r="F22">
        <v>402.07</v>
      </c>
      <c r="G22">
        <v>0</v>
      </c>
      <c r="H22">
        <f t="shared" si="0"/>
        <v>0.95979300000000001</v>
      </c>
      <c r="I22">
        <v>46.415888000000002</v>
      </c>
      <c r="J22">
        <v>21.544346999999998</v>
      </c>
      <c r="K22">
        <f t="shared" ref="K22:K52" si="5">C22*(1+I22+J22)</f>
        <v>9999.9236773499997</v>
      </c>
      <c r="M22" t="s">
        <v>90</v>
      </c>
      <c r="N22">
        <v>1000000000.0000001</v>
      </c>
      <c r="O22">
        <v>145.01</v>
      </c>
      <c r="P22">
        <v>46.415889999999997</v>
      </c>
      <c r="Q22">
        <v>21.544350000000001</v>
      </c>
      <c r="R22">
        <v>10000</v>
      </c>
      <c r="S22">
        <v>0</v>
      </c>
      <c r="T22">
        <f t="shared" si="2"/>
        <v>0</v>
      </c>
      <c r="U22" t="b">
        <f>T22&lt;=H22</f>
        <v>1</v>
      </c>
      <c r="V22">
        <f t="shared" si="3"/>
        <v>4.3088694003882579E-8</v>
      </c>
      <c r="W22">
        <f t="shared" si="4"/>
        <v>1.3924766450725423E-7</v>
      </c>
    </row>
    <row r="23" spans="1:23" x14ac:dyDescent="0.25">
      <c r="A23" t="s">
        <v>91</v>
      </c>
      <c r="B23">
        <v>1000000000</v>
      </c>
      <c r="C23">
        <v>174.17</v>
      </c>
      <c r="D23">
        <v>0.30207000000000001</v>
      </c>
      <c r="E23">
        <v>0.27461000000000002</v>
      </c>
      <c r="F23">
        <v>274.61</v>
      </c>
      <c r="G23">
        <v>0</v>
      </c>
      <c r="H23">
        <f t="shared" si="0"/>
        <v>0.97253899999999993</v>
      </c>
      <c r="I23">
        <v>46.415888000000002</v>
      </c>
      <c r="J23">
        <v>10</v>
      </c>
      <c r="K23">
        <f t="shared" si="5"/>
        <v>10000.12521296</v>
      </c>
      <c r="M23" t="s">
        <v>91</v>
      </c>
      <c r="N23">
        <v>999999999.99999964</v>
      </c>
      <c r="O23">
        <v>174.17</v>
      </c>
      <c r="P23">
        <v>46.415889999999997</v>
      </c>
      <c r="Q23">
        <v>10</v>
      </c>
      <c r="R23">
        <v>10000</v>
      </c>
      <c r="S23">
        <v>0</v>
      </c>
      <c r="T23">
        <f t="shared" si="2"/>
        <v>0</v>
      </c>
      <c r="U23" t="b">
        <f>T23&lt;=H23</f>
        <v>1</v>
      </c>
      <c r="V23">
        <f t="shared" si="3"/>
        <v>4.3088694003882579E-8</v>
      </c>
      <c r="W23">
        <f t="shared" si="4"/>
        <v>0</v>
      </c>
    </row>
    <row r="24" spans="1:23" x14ac:dyDescent="0.25">
      <c r="A24" t="s">
        <v>92</v>
      </c>
      <c r="B24">
        <v>1000000000</v>
      </c>
      <c r="C24">
        <v>192.1</v>
      </c>
      <c r="D24">
        <v>0.13505</v>
      </c>
      <c r="E24">
        <v>0.10983999999999999</v>
      </c>
      <c r="F24">
        <v>239.14</v>
      </c>
      <c r="G24">
        <v>0</v>
      </c>
      <c r="H24">
        <f t="shared" si="0"/>
        <v>0.97608600000000001</v>
      </c>
      <c r="I24">
        <v>46.415888000000002</v>
      </c>
      <c r="J24">
        <v>4.6415889999999997</v>
      </c>
      <c r="K24">
        <f t="shared" si="5"/>
        <v>10000.241331700001</v>
      </c>
      <c r="M24" t="s">
        <v>92</v>
      </c>
      <c r="N24">
        <v>1000000000</v>
      </c>
      <c r="O24">
        <v>192.1</v>
      </c>
      <c r="P24">
        <v>46.415889999999997</v>
      </c>
      <c r="Q24">
        <v>4.6415899999999999</v>
      </c>
      <c r="R24">
        <v>10000</v>
      </c>
      <c r="S24">
        <v>0</v>
      </c>
      <c r="T24">
        <f t="shared" si="2"/>
        <v>0</v>
      </c>
      <c r="U24" t="b">
        <f>T24&lt;=H24</f>
        <v>1</v>
      </c>
      <c r="V24">
        <f t="shared" si="3"/>
        <v>4.3088694003882579E-8</v>
      </c>
      <c r="W24">
        <f t="shared" si="4"/>
        <v>2.1544346131029224E-7</v>
      </c>
    </row>
    <row r="25" spans="1:23" x14ac:dyDescent="0.25">
      <c r="A25" t="s">
        <v>93</v>
      </c>
      <c r="B25">
        <v>1000000000</v>
      </c>
      <c r="C25">
        <v>201.73</v>
      </c>
      <c r="D25">
        <v>7.127E-2</v>
      </c>
      <c r="E25">
        <v>4.8090000000000001E-2</v>
      </c>
      <c r="F25">
        <v>225.81</v>
      </c>
      <c r="G25">
        <v>0</v>
      </c>
      <c r="H25">
        <f t="shared" si="0"/>
        <v>0.97741900000000004</v>
      </c>
      <c r="I25">
        <v>46.415888000000002</v>
      </c>
      <c r="J25">
        <v>2.1544349999999999</v>
      </c>
      <c r="K25">
        <f t="shared" si="5"/>
        <v>9999.8212587899998</v>
      </c>
      <c r="M25" t="s">
        <v>93</v>
      </c>
      <c r="N25">
        <v>1000000000</v>
      </c>
      <c r="O25">
        <v>201.73</v>
      </c>
      <c r="P25">
        <v>46.415889999999997</v>
      </c>
      <c r="Q25">
        <v>2.1544300000000001</v>
      </c>
      <c r="R25">
        <v>10000</v>
      </c>
      <c r="S25">
        <v>0</v>
      </c>
      <c r="T25">
        <f t="shared" si="2"/>
        <v>0</v>
      </c>
      <c r="U25" t="b">
        <f>T25&lt;=H25</f>
        <v>1</v>
      </c>
      <c r="V25">
        <f t="shared" si="3"/>
        <v>4.3088694003882579E-8</v>
      </c>
      <c r="W25">
        <f t="shared" si="4"/>
        <v>2.3207940828155464E-6</v>
      </c>
    </row>
    <row r="26" spans="1:23" x14ac:dyDescent="0.25">
      <c r="A26" t="s">
        <v>94</v>
      </c>
      <c r="B26">
        <v>1000000000</v>
      </c>
      <c r="C26">
        <v>206.54</v>
      </c>
      <c r="D26">
        <v>4.4040000000000003E-2</v>
      </c>
      <c r="E26">
        <v>2.1749999999999999E-2</v>
      </c>
      <c r="F26">
        <v>220.13</v>
      </c>
      <c r="G26">
        <v>0</v>
      </c>
      <c r="H26">
        <f t="shared" si="0"/>
        <v>0.97798700000000005</v>
      </c>
      <c r="I26">
        <v>46.415888000000002</v>
      </c>
      <c r="J26">
        <v>1</v>
      </c>
      <c r="K26">
        <f t="shared" si="5"/>
        <v>9999.8175075199997</v>
      </c>
      <c r="M26" t="s">
        <v>94</v>
      </c>
      <c r="N26">
        <v>1000000000</v>
      </c>
      <c r="O26">
        <v>206.54</v>
      </c>
      <c r="P26">
        <v>46.415889999999997</v>
      </c>
      <c r="Q26">
        <v>1</v>
      </c>
      <c r="R26">
        <v>10000</v>
      </c>
      <c r="S26">
        <v>0</v>
      </c>
      <c r="T26">
        <f t="shared" si="2"/>
        <v>0</v>
      </c>
      <c r="U26" t="b">
        <f>T26&lt;=H26</f>
        <v>1</v>
      </c>
      <c r="V26">
        <f t="shared" si="3"/>
        <v>4.3088694003882579E-8</v>
      </c>
      <c r="W26">
        <f t="shared" si="4"/>
        <v>0</v>
      </c>
    </row>
    <row r="27" spans="1:23" x14ac:dyDescent="0.25">
      <c r="A27" t="s">
        <v>95</v>
      </c>
      <c r="B27">
        <v>1000000000</v>
      </c>
      <c r="C27">
        <v>208.86</v>
      </c>
      <c r="D27">
        <v>3.1859999999999999E-2</v>
      </c>
      <c r="E27">
        <v>9.9799999999999993E-3</v>
      </c>
      <c r="F27">
        <v>217.59</v>
      </c>
      <c r="G27">
        <v>0</v>
      </c>
      <c r="H27">
        <f t="shared" si="0"/>
        <v>0.97824100000000003</v>
      </c>
      <c r="I27">
        <v>46.415888000000002</v>
      </c>
      <c r="J27">
        <v>0.46415899999999999</v>
      </c>
      <c r="K27">
        <f t="shared" si="5"/>
        <v>10000.226616420001</v>
      </c>
      <c r="M27" t="s">
        <v>95</v>
      </c>
      <c r="N27">
        <v>1000000000</v>
      </c>
      <c r="O27">
        <v>208.86</v>
      </c>
      <c r="P27">
        <v>46.415889999999997</v>
      </c>
      <c r="Q27">
        <v>0.46416000000000002</v>
      </c>
      <c r="R27">
        <v>10000</v>
      </c>
      <c r="S27">
        <v>0</v>
      </c>
      <c r="T27">
        <f t="shared" si="2"/>
        <v>0</v>
      </c>
      <c r="U27" t="b">
        <f>T27&lt;=H27</f>
        <v>1</v>
      </c>
      <c r="V27">
        <f t="shared" si="3"/>
        <v>4.3088694003882579E-8</v>
      </c>
      <c r="W27">
        <f t="shared" si="4"/>
        <v>2.154434148704982E-6</v>
      </c>
    </row>
    <row r="28" spans="1:23" x14ac:dyDescent="0.25">
      <c r="A28" t="s">
        <v>96</v>
      </c>
      <c r="B28">
        <v>1000000000</v>
      </c>
      <c r="C28">
        <v>209.95</v>
      </c>
      <c r="D28">
        <v>2.631E-2</v>
      </c>
      <c r="E28">
        <v>4.5999999999999999E-3</v>
      </c>
      <c r="F28">
        <v>216.44</v>
      </c>
      <c r="G28">
        <v>0</v>
      </c>
      <c r="H28">
        <f t="shared" si="0"/>
        <v>0.978356</v>
      </c>
      <c r="I28">
        <v>46.415888000000002</v>
      </c>
      <c r="J28">
        <v>0.215443</v>
      </c>
      <c r="K28">
        <f t="shared" si="5"/>
        <v>10000.197943450001</v>
      </c>
      <c r="M28" t="s">
        <v>96</v>
      </c>
      <c r="N28">
        <v>1000000000</v>
      </c>
      <c r="O28">
        <v>209.95</v>
      </c>
      <c r="P28">
        <v>46.415889999999997</v>
      </c>
      <c r="Q28">
        <v>0.21543999999999999</v>
      </c>
      <c r="R28">
        <v>10000</v>
      </c>
      <c r="S28">
        <v>0</v>
      </c>
      <c r="T28">
        <f t="shared" si="2"/>
        <v>0</v>
      </c>
      <c r="U28" t="b">
        <f>T28&lt;=H28</f>
        <v>1</v>
      </c>
      <c r="V28">
        <f t="shared" si="3"/>
        <v>4.3088694003882579E-8</v>
      </c>
      <c r="W28">
        <f t="shared" si="4"/>
        <v>1.3924796814020416E-5</v>
      </c>
    </row>
    <row r="29" spans="1:23" x14ac:dyDescent="0.25">
      <c r="A29" t="s">
        <v>97</v>
      </c>
      <c r="B29">
        <v>1000000000</v>
      </c>
      <c r="C29">
        <v>210.46</v>
      </c>
      <c r="D29">
        <v>2.375E-2</v>
      </c>
      <c r="E29">
        <v>2.1299999999999999E-3</v>
      </c>
      <c r="F29">
        <v>215.9</v>
      </c>
      <c r="G29">
        <v>0</v>
      </c>
      <c r="H29">
        <f t="shared" si="0"/>
        <v>0.97841</v>
      </c>
      <c r="I29">
        <v>46.415888000000002</v>
      </c>
      <c r="J29">
        <v>0.1</v>
      </c>
      <c r="K29">
        <f t="shared" si="5"/>
        <v>10000.193788480001</v>
      </c>
      <c r="M29" t="s">
        <v>97</v>
      </c>
      <c r="N29">
        <v>1000000000</v>
      </c>
      <c r="O29">
        <v>210.46</v>
      </c>
      <c r="P29">
        <v>46.415889999999997</v>
      </c>
      <c r="Q29">
        <v>0.1</v>
      </c>
      <c r="R29">
        <v>10000</v>
      </c>
      <c r="S29">
        <v>0</v>
      </c>
      <c r="T29">
        <f t="shared" si="2"/>
        <v>0</v>
      </c>
      <c r="U29" t="b">
        <f>T29&lt;=H29</f>
        <v>1</v>
      </c>
      <c r="V29">
        <f t="shared" si="3"/>
        <v>4.3088694003882579E-8</v>
      </c>
      <c r="W29">
        <f t="shared" si="4"/>
        <v>0</v>
      </c>
    </row>
    <row r="30" spans="1:23" x14ac:dyDescent="0.25">
      <c r="A30" t="s">
        <v>98</v>
      </c>
      <c r="B30">
        <v>1000000000</v>
      </c>
      <c r="C30">
        <v>210.69</v>
      </c>
      <c r="D30">
        <v>2.257E-2</v>
      </c>
      <c r="E30">
        <v>9.8999999999999999E-4</v>
      </c>
      <c r="F30">
        <v>215.66</v>
      </c>
      <c r="G30">
        <v>0</v>
      </c>
      <c r="H30">
        <f t="shared" si="0"/>
        <v>0.97843400000000003</v>
      </c>
      <c r="I30">
        <v>46.415888000000002</v>
      </c>
      <c r="J30">
        <v>4.6415999999999999E-2</v>
      </c>
      <c r="K30">
        <f t="shared" si="5"/>
        <v>9999.8328297600001</v>
      </c>
      <c r="M30" t="s">
        <v>98</v>
      </c>
      <c r="N30">
        <v>1000000000</v>
      </c>
      <c r="O30">
        <v>210.69</v>
      </c>
      <c r="P30">
        <v>46.415889999999997</v>
      </c>
      <c r="Q30">
        <v>4.6420000000000003E-2</v>
      </c>
      <c r="R30">
        <v>10000</v>
      </c>
      <c r="S30">
        <v>0</v>
      </c>
      <c r="T30">
        <f t="shared" si="2"/>
        <v>0</v>
      </c>
      <c r="U30" t="b">
        <f>T30&lt;=H30</f>
        <v>1</v>
      </c>
      <c r="V30">
        <f t="shared" si="3"/>
        <v>4.3088694003882579E-8</v>
      </c>
      <c r="W30">
        <f t="shared" si="4"/>
        <v>8.6177180282747334E-5</v>
      </c>
    </row>
    <row r="31" spans="1:23" x14ac:dyDescent="0.25">
      <c r="A31" t="s">
        <v>99</v>
      </c>
      <c r="B31">
        <v>1000000000</v>
      </c>
      <c r="C31">
        <v>210.8</v>
      </c>
      <c r="D31">
        <v>2.2020000000000001E-2</v>
      </c>
      <c r="E31">
        <v>4.6000000000000001E-4</v>
      </c>
      <c r="F31">
        <v>215.54</v>
      </c>
      <c r="G31">
        <v>0</v>
      </c>
      <c r="H31">
        <f t="shared" si="0"/>
        <v>0.97844599999999993</v>
      </c>
      <c r="I31">
        <v>46.415888000000002</v>
      </c>
      <c r="J31">
        <v>2.1544000000000001E-2</v>
      </c>
      <c r="K31">
        <f t="shared" si="5"/>
        <v>9999.8106656</v>
      </c>
      <c r="M31" t="s">
        <v>99</v>
      </c>
      <c r="N31">
        <v>1000000000.0000001</v>
      </c>
      <c r="O31">
        <v>210.8</v>
      </c>
      <c r="P31">
        <v>46.415889999999997</v>
      </c>
      <c r="Q31">
        <v>2.154E-2</v>
      </c>
      <c r="R31">
        <v>10000</v>
      </c>
      <c r="S31">
        <v>0</v>
      </c>
      <c r="T31">
        <f t="shared" si="2"/>
        <v>0</v>
      </c>
      <c r="U31" t="b">
        <f>T31&lt;=H31</f>
        <v>1</v>
      </c>
      <c r="V31">
        <f t="shared" si="3"/>
        <v>4.3088694003882579E-8</v>
      </c>
      <c r="W31">
        <f t="shared" si="4"/>
        <v>1.8566654288899604E-4</v>
      </c>
    </row>
    <row r="32" spans="1:23" x14ac:dyDescent="0.25">
      <c r="A32" t="s">
        <v>100</v>
      </c>
      <c r="B32">
        <v>1000000000</v>
      </c>
      <c r="C32">
        <v>210.86</v>
      </c>
      <c r="D32">
        <v>2.1760000000000002E-2</v>
      </c>
      <c r="E32">
        <v>2.1000000000000001E-4</v>
      </c>
      <c r="F32">
        <v>215.49</v>
      </c>
      <c r="G32">
        <v>0</v>
      </c>
      <c r="H32">
        <f t="shared" si="0"/>
        <v>0.97845100000000007</v>
      </c>
      <c r="I32">
        <v>46.415888000000002</v>
      </c>
      <c r="J32">
        <v>0.01</v>
      </c>
      <c r="K32">
        <f t="shared" si="5"/>
        <v>10000.22274368</v>
      </c>
      <c r="M32" t="s">
        <v>100</v>
      </c>
      <c r="N32">
        <v>1000000000.0000002</v>
      </c>
      <c r="O32">
        <v>210.86</v>
      </c>
      <c r="P32">
        <v>46.415889999999997</v>
      </c>
      <c r="Q32">
        <v>0.01</v>
      </c>
      <c r="R32">
        <v>10000</v>
      </c>
      <c r="S32">
        <v>0</v>
      </c>
      <c r="T32">
        <f t="shared" si="2"/>
        <v>0</v>
      </c>
      <c r="U32" t="b">
        <f>T32&lt;=H32</f>
        <v>1</v>
      </c>
      <c r="V32">
        <f t="shared" si="3"/>
        <v>4.3088694003882579E-8</v>
      </c>
      <c r="W32">
        <f t="shared" si="4"/>
        <v>0</v>
      </c>
    </row>
    <row r="33" spans="1:23" x14ac:dyDescent="0.25">
      <c r="A33" t="s">
        <v>101</v>
      </c>
      <c r="B33">
        <v>1000000000</v>
      </c>
      <c r="C33">
        <v>210.88</v>
      </c>
      <c r="D33">
        <v>2.1649999999999999E-2</v>
      </c>
      <c r="E33">
        <v>1E-4</v>
      </c>
      <c r="F33">
        <v>215.46</v>
      </c>
      <c r="G33">
        <v>0</v>
      </c>
      <c r="H33">
        <f t="shared" si="0"/>
        <v>0.97845400000000005</v>
      </c>
      <c r="I33">
        <v>46.415888000000002</v>
      </c>
      <c r="J33">
        <v>4.6420000000000003E-3</v>
      </c>
      <c r="K33">
        <f t="shared" si="5"/>
        <v>10000.041366399999</v>
      </c>
      <c r="M33" t="s">
        <v>101</v>
      </c>
      <c r="N33">
        <v>999999999.99999964</v>
      </c>
      <c r="O33">
        <v>210.88</v>
      </c>
      <c r="P33">
        <v>46.415869999999998</v>
      </c>
      <c r="Q33">
        <v>4.64E-3</v>
      </c>
      <c r="R33">
        <v>10000</v>
      </c>
      <c r="S33">
        <v>0</v>
      </c>
      <c r="T33">
        <f t="shared" si="2"/>
        <v>0</v>
      </c>
      <c r="U33" t="b">
        <f>T33&lt;=H33</f>
        <v>1</v>
      </c>
      <c r="V33">
        <f t="shared" si="3"/>
        <v>3.8779824710651573E-7</v>
      </c>
      <c r="W33">
        <f t="shared" si="4"/>
        <v>4.3084877208105675E-4</v>
      </c>
    </row>
    <row r="34" spans="1:23" x14ac:dyDescent="0.25">
      <c r="A34" t="s">
        <v>102</v>
      </c>
      <c r="B34">
        <v>1000000000</v>
      </c>
      <c r="C34">
        <v>210.89</v>
      </c>
      <c r="D34">
        <v>2.1590000000000002E-2</v>
      </c>
      <c r="E34">
        <v>5.0000000000000002E-5</v>
      </c>
      <c r="F34">
        <v>215.45</v>
      </c>
      <c r="G34">
        <v>0</v>
      </c>
      <c r="H34">
        <f t="shared" si="0"/>
        <v>0.97845499999999996</v>
      </c>
      <c r="I34">
        <v>46.415888000000002</v>
      </c>
      <c r="J34">
        <v>2.1540000000000001E-3</v>
      </c>
      <c r="K34">
        <f t="shared" si="5"/>
        <v>9999.9908773799998</v>
      </c>
      <c r="M34" t="s">
        <v>102</v>
      </c>
      <c r="N34">
        <v>1000000000</v>
      </c>
      <c r="O34">
        <v>210.89</v>
      </c>
      <c r="P34">
        <v>46.415930000000003</v>
      </c>
      <c r="Q34">
        <v>2.16E-3</v>
      </c>
      <c r="R34">
        <v>10000.01</v>
      </c>
      <c r="S34">
        <v>0</v>
      </c>
      <c r="T34">
        <f t="shared" si="2"/>
        <v>1.0000000000218278E-6</v>
      </c>
      <c r="U34" t="b">
        <f>T34&lt;=H34</f>
        <v>1</v>
      </c>
      <c r="V34">
        <f t="shared" si="3"/>
        <v>9.0486257637776102E-7</v>
      </c>
      <c r="W34">
        <f t="shared" si="4"/>
        <v>2.7855153203342289E-3</v>
      </c>
    </row>
    <row r="35" spans="1:23" x14ac:dyDescent="0.25">
      <c r="A35" t="s">
        <v>103</v>
      </c>
      <c r="B35">
        <v>1000000000</v>
      </c>
      <c r="C35">
        <v>210.9</v>
      </c>
      <c r="D35">
        <v>2.1569999999999999E-2</v>
      </c>
      <c r="E35">
        <v>2.0000000000000002E-5</v>
      </c>
      <c r="F35">
        <v>215.45</v>
      </c>
      <c r="G35">
        <v>0</v>
      </c>
      <c r="H35">
        <f t="shared" si="0"/>
        <v>0.97845499999999996</v>
      </c>
      <c r="I35">
        <v>46.415888000000002</v>
      </c>
      <c r="J35">
        <v>1E-3</v>
      </c>
      <c r="K35">
        <f t="shared" si="5"/>
        <v>10000.2216792</v>
      </c>
      <c r="M35" t="s">
        <v>103</v>
      </c>
      <c r="N35">
        <v>999999999.9999994</v>
      </c>
      <c r="O35">
        <v>210.9</v>
      </c>
      <c r="P35">
        <v>46.416220000000003</v>
      </c>
      <c r="Q35">
        <v>1.01E-3</v>
      </c>
      <c r="R35">
        <v>10000.07</v>
      </c>
      <c r="S35">
        <v>0</v>
      </c>
      <c r="T35">
        <f t="shared" si="2"/>
        <v>6.9999999999708958E-6</v>
      </c>
      <c r="U35" t="b">
        <f>T35&lt;=H35</f>
        <v>1</v>
      </c>
      <c r="V35">
        <f t="shared" si="3"/>
        <v>7.1527232227081592E-6</v>
      </c>
      <c r="W35">
        <f t="shared" si="4"/>
        <v>1.0000000000000026E-2</v>
      </c>
    </row>
    <row r="38" spans="1:23" x14ac:dyDescent="0.25">
      <c r="A38" t="s">
        <v>0</v>
      </c>
      <c r="B38" t="s">
        <v>1</v>
      </c>
      <c r="C38" t="s">
        <v>2</v>
      </c>
      <c r="D38" t="s">
        <v>3</v>
      </c>
      <c r="E38" t="s">
        <v>4</v>
      </c>
      <c r="F38" t="s">
        <v>5</v>
      </c>
      <c r="G38" t="s">
        <v>6</v>
      </c>
      <c r="M38" t="s">
        <v>0</v>
      </c>
      <c r="N38" t="s">
        <v>1</v>
      </c>
      <c r="O38" t="s">
        <v>2</v>
      </c>
      <c r="P38" t="s">
        <v>3</v>
      </c>
      <c r="Q38" t="s">
        <v>4</v>
      </c>
      <c r="R38" t="s">
        <v>5</v>
      </c>
      <c r="S38" t="s">
        <v>6</v>
      </c>
    </row>
    <row r="39" spans="1:23" x14ac:dyDescent="0.25">
      <c r="A39" t="s">
        <v>104</v>
      </c>
      <c r="B39">
        <v>1000000000</v>
      </c>
      <c r="C39">
        <v>226.82</v>
      </c>
      <c r="D39">
        <v>21.544350000000001</v>
      </c>
      <c r="E39">
        <v>21.544350000000001</v>
      </c>
      <c r="F39">
        <v>10000</v>
      </c>
      <c r="G39">
        <v>0</v>
      </c>
      <c r="H39">
        <f t="shared" si="0"/>
        <v>0</v>
      </c>
      <c r="I39">
        <v>21.544346999999998</v>
      </c>
      <c r="J39">
        <v>21.544346999999998</v>
      </c>
      <c r="K39">
        <f t="shared" si="5"/>
        <v>10000.197573079999</v>
      </c>
      <c r="M39" t="s">
        <v>104</v>
      </c>
      <c r="N39">
        <v>1000000000</v>
      </c>
      <c r="O39">
        <v>226.82</v>
      </c>
      <c r="P39">
        <v>21.544350000000001</v>
      </c>
      <c r="Q39">
        <v>21.544350000000001</v>
      </c>
      <c r="R39">
        <v>10000</v>
      </c>
      <c r="S39">
        <v>0</v>
      </c>
      <c r="T39">
        <f t="shared" si="2"/>
        <v>0</v>
      </c>
      <c r="U39" t="b">
        <f>T39&lt;=H39</f>
        <v>1</v>
      </c>
      <c r="V39">
        <f t="shared" si="3"/>
        <v>1.3924766450725423E-7</v>
      </c>
      <c r="W39">
        <f t="shared" si="4"/>
        <v>1.3924766450725423E-7</v>
      </c>
    </row>
    <row r="40" spans="1:23" x14ac:dyDescent="0.25">
      <c r="A40" t="s">
        <v>105</v>
      </c>
      <c r="B40">
        <v>1000000000</v>
      </c>
      <c r="C40">
        <v>307.27</v>
      </c>
      <c r="D40">
        <v>0.95284999999999997</v>
      </c>
      <c r="E40">
        <v>0.86621999999999999</v>
      </c>
      <c r="F40">
        <v>866.22</v>
      </c>
      <c r="G40">
        <v>0</v>
      </c>
      <c r="H40">
        <f t="shared" si="0"/>
        <v>0.91337800000000002</v>
      </c>
      <c r="I40">
        <v>21.544346999999998</v>
      </c>
      <c r="J40">
        <v>10</v>
      </c>
      <c r="K40">
        <f t="shared" si="5"/>
        <v>9999.9015026899997</v>
      </c>
      <c r="M40" t="s">
        <v>105</v>
      </c>
      <c r="N40">
        <v>1000000000</v>
      </c>
      <c r="O40">
        <v>307.27</v>
      </c>
      <c r="P40">
        <v>21.544350000000001</v>
      </c>
      <c r="Q40">
        <v>10</v>
      </c>
      <c r="R40">
        <v>10000</v>
      </c>
      <c r="S40">
        <v>0</v>
      </c>
      <c r="T40">
        <f t="shared" si="2"/>
        <v>0</v>
      </c>
      <c r="U40" t="b">
        <f>T40&lt;=H40</f>
        <v>1</v>
      </c>
      <c r="V40">
        <f t="shared" si="3"/>
        <v>1.3924766450725423E-7</v>
      </c>
      <c r="W40">
        <f t="shared" si="4"/>
        <v>0</v>
      </c>
    </row>
    <row r="41" spans="1:23" x14ac:dyDescent="0.25">
      <c r="A41" t="s">
        <v>106</v>
      </c>
      <c r="B41">
        <v>1000000000</v>
      </c>
      <c r="C41">
        <v>367.84</v>
      </c>
      <c r="D41">
        <v>0.33377000000000001</v>
      </c>
      <c r="E41">
        <v>0.27461000000000002</v>
      </c>
      <c r="F41">
        <v>591.62</v>
      </c>
      <c r="G41">
        <v>0</v>
      </c>
      <c r="H41">
        <f t="shared" si="0"/>
        <v>0.94083799999999995</v>
      </c>
      <c r="I41">
        <v>21.544346999999998</v>
      </c>
      <c r="J41">
        <v>4.6415889999999997</v>
      </c>
      <c r="K41">
        <f t="shared" si="5"/>
        <v>10000.074698239998</v>
      </c>
      <c r="M41" t="s">
        <v>106</v>
      </c>
      <c r="N41">
        <v>1000000000</v>
      </c>
      <c r="O41">
        <v>367.84</v>
      </c>
      <c r="P41">
        <v>21.544350000000001</v>
      </c>
      <c r="Q41">
        <v>4.6415899999999999</v>
      </c>
      <c r="R41">
        <v>10000</v>
      </c>
      <c r="S41">
        <v>0</v>
      </c>
      <c r="T41">
        <f t="shared" si="2"/>
        <v>0</v>
      </c>
      <c r="U41" t="b">
        <f>T41&lt;=H41</f>
        <v>1</v>
      </c>
      <c r="V41">
        <f t="shared" si="3"/>
        <v>1.3924766450725423E-7</v>
      </c>
      <c r="W41">
        <f t="shared" si="4"/>
        <v>2.1544346131029224E-7</v>
      </c>
    </row>
    <row r="42" spans="1:23" x14ac:dyDescent="0.25">
      <c r="A42" t="s">
        <v>107</v>
      </c>
      <c r="B42">
        <v>1000000000</v>
      </c>
      <c r="C42">
        <v>404.88</v>
      </c>
      <c r="D42">
        <v>0.16267999999999999</v>
      </c>
      <c r="E42">
        <v>0.10982</v>
      </c>
      <c r="F42">
        <v>515.21</v>
      </c>
      <c r="G42">
        <v>0</v>
      </c>
      <c r="H42">
        <f t="shared" si="0"/>
        <v>0.94847900000000007</v>
      </c>
      <c r="I42">
        <v>21.544346999999998</v>
      </c>
      <c r="J42">
        <v>2.1544349999999999</v>
      </c>
      <c r="K42">
        <f t="shared" si="5"/>
        <v>10000.042856159998</v>
      </c>
      <c r="M42" t="s">
        <v>107</v>
      </c>
      <c r="N42">
        <v>1000000000</v>
      </c>
      <c r="O42">
        <v>404.88</v>
      </c>
      <c r="P42">
        <v>21.544350000000001</v>
      </c>
      <c r="Q42">
        <v>2.1544300000000001</v>
      </c>
      <c r="R42">
        <v>10000</v>
      </c>
      <c r="S42">
        <v>0</v>
      </c>
      <c r="T42">
        <f t="shared" si="2"/>
        <v>0</v>
      </c>
      <c r="U42" t="b">
        <f>T42&lt;=H42</f>
        <v>1</v>
      </c>
      <c r="V42">
        <f t="shared" si="3"/>
        <v>1.3924766450725423E-7</v>
      </c>
      <c r="W42">
        <f t="shared" si="4"/>
        <v>2.3207940828155464E-6</v>
      </c>
    </row>
    <row r="43" spans="1:23" x14ac:dyDescent="0.25">
      <c r="A43" t="s">
        <v>108</v>
      </c>
      <c r="B43">
        <v>1000000000</v>
      </c>
      <c r="C43">
        <v>424.73</v>
      </c>
      <c r="D43">
        <v>9.7350000000000006E-2</v>
      </c>
      <c r="E43">
        <v>4.8079999999999998E-2</v>
      </c>
      <c r="F43">
        <v>486.5</v>
      </c>
      <c r="G43">
        <v>0</v>
      </c>
      <c r="H43">
        <f t="shared" si="0"/>
        <v>0.95135000000000003</v>
      </c>
      <c r="I43">
        <v>21.544346999999998</v>
      </c>
      <c r="J43">
        <v>1</v>
      </c>
      <c r="K43">
        <f t="shared" si="5"/>
        <v>9999.9905013099997</v>
      </c>
      <c r="M43" t="s">
        <v>108</v>
      </c>
      <c r="N43">
        <v>1000000000</v>
      </c>
      <c r="O43">
        <v>424.73</v>
      </c>
      <c r="P43">
        <v>21.544350000000001</v>
      </c>
      <c r="Q43">
        <v>1</v>
      </c>
      <c r="R43">
        <v>10000</v>
      </c>
      <c r="S43">
        <v>0</v>
      </c>
      <c r="T43">
        <f t="shared" si="2"/>
        <v>0</v>
      </c>
      <c r="U43" t="b">
        <f>T43&lt;=H43</f>
        <v>1</v>
      </c>
      <c r="V43">
        <f t="shared" si="3"/>
        <v>1.3924766450725423E-7</v>
      </c>
      <c r="W43">
        <f t="shared" si="4"/>
        <v>0</v>
      </c>
    </row>
    <row r="44" spans="1:23" x14ac:dyDescent="0.25">
      <c r="A44" t="s">
        <v>109</v>
      </c>
      <c r="B44">
        <v>1000000000</v>
      </c>
      <c r="C44">
        <v>434.62</v>
      </c>
      <c r="D44">
        <v>6.9459999999999994E-2</v>
      </c>
      <c r="E44">
        <v>2.1739999999999999E-2</v>
      </c>
      <c r="F44">
        <v>474.26</v>
      </c>
      <c r="G44">
        <v>0</v>
      </c>
      <c r="H44">
        <f t="shared" si="0"/>
        <v>0.95257400000000003</v>
      </c>
      <c r="I44">
        <v>21.544346999999998</v>
      </c>
      <c r="J44">
        <v>0.46415899999999999</v>
      </c>
      <c r="K44">
        <f t="shared" si="5"/>
        <v>9999.9568777199984</v>
      </c>
      <c r="M44" t="s">
        <v>109</v>
      </c>
      <c r="N44">
        <v>1000000000</v>
      </c>
      <c r="O44">
        <v>434.62</v>
      </c>
      <c r="P44">
        <v>21.544350000000001</v>
      </c>
      <c r="Q44">
        <v>0.46416000000000002</v>
      </c>
      <c r="R44">
        <v>10000</v>
      </c>
      <c r="S44">
        <v>0</v>
      </c>
      <c r="T44">
        <f t="shared" si="2"/>
        <v>0</v>
      </c>
      <c r="U44" t="b">
        <f>T44&lt;=H44</f>
        <v>1</v>
      </c>
      <c r="V44">
        <f t="shared" si="3"/>
        <v>1.3924766450725423E-7</v>
      </c>
      <c r="W44">
        <f t="shared" si="4"/>
        <v>2.154434148704982E-6</v>
      </c>
    </row>
    <row r="45" spans="1:23" x14ac:dyDescent="0.25">
      <c r="A45" t="s">
        <v>110</v>
      </c>
      <c r="B45">
        <v>1000000000</v>
      </c>
      <c r="C45">
        <v>439.37</v>
      </c>
      <c r="D45">
        <v>5.6989999999999999E-2</v>
      </c>
      <c r="E45">
        <v>9.9699999999999997E-3</v>
      </c>
      <c r="F45">
        <v>468.79</v>
      </c>
      <c r="G45">
        <v>0</v>
      </c>
      <c r="H45">
        <f t="shared" si="0"/>
        <v>0.95312099999999988</v>
      </c>
      <c r="I45">
        <v>21.544346999999998</v>
      </c>
      <c r="J45">
        <v>0.215443</v>
      </c>
      <c r="K45">
        <f t="shared" si="5"/>
        <v>9999.9689323000002</v>
      </c>
      <c r="M45" t="s">
        <v>110</v>
      </c>
      <c r="N45">
        <v>1000000000</v>
      </c>
      <c r="O45">
        <v>439.37</v>
      </c>
      <c r="P45">
        <v>21.544350000000001</v>
      </c>
      <c r="Q45">
        <v>0.21543999999999999</v>
      </c>
      <c r="R45">
        <v>10000</v>
      </c>
      <c r="S45">
        <v>0</v>
      </c>
      <c r="T45">
        <f t="shared" si="2"/>
        <v>0</v>
      </c>
      <c r="U45" t="b">
        <f>T45&lt;=H45</f>
        <v>1</v>
      </c>
      <c r="V45">
        <f t="shared" si="3"/>
        <v>1.3924766450725423E-7</v>
      </c>
      <c r="W45">
        <f t="shared" si="4"/>
        <v>1.3924796814020416E-5</v>
      </c>
    </row>
    <row r="46" spans="1:23" x14ac:dyDescent="0.25">
      <c r="A46" t="s">
        <v>111</v>
      </c>
      <c r="B46">
        <v>1000000000</v>
      </c>
      <c r="C46">
        <v>441.61</v>
      </c>
      <c r="D46">
        <v>5.1299999999999998E-2</v>
      </c>
      <c r="E46">
        <v>4.5999999999999999E-3</v>
      </c>
      <c r="F46">
        <v>466.3</v>
      </c>
      <c r="G46">
        <v>0</v>
      </c>
      <c r="H46">
        <f t="shared" si="0"/>
        <v>0.95337000000000005</v>
      </c>
      <c r="I46">
        <v>21.544346999999998</v>
      </c>
      <c r="J46">
        <v>0.1</v>
      </c>
      <c r="K46">
        <f t="shared" si="5"/>
        <v>9999.9700786699996</v>
      </c>
      <c r="M46" t="s">
        <v>111</v>
      </c>
      <c r="N46">
        <v>1000000000</v>
      </c>
      <c r="O46">
        <v>441.61</v>
      </c>
      <c r="P46">
        <v>21.544350000000001</v>
      </c>
      <c r="Q46">
        <v>0.1</v>
      </c>
      <c r="R46">
        <v>10000</v>
      </c>
      <c r="S46">
        <v>0</v>
      </c>
      <c r="T46">
        <f t="shared" si="2"/>
        <v>0</v>
      </c>
      <c r="U46" t="b">
        <f>T46&lt;=H46</f>
        <v>1</v>
      </c>
      <c r="V46">
        <f t="shared" si="3"/>
        <v>1.3924766450725423E-7</v>
      </c>
      <c r="W46">
        <f t="shared" si="4"/>
        <v>0</v>
      </c>
    </row>
    <row r="47" spans="1:23" x14ac:dyDescent="0.25">
      <c r="A47" t="s">
        <v>112</v>
      </c>
      <c r="B47">
        <v>1000000000</v>
      </c>
      <c r="C47">
        <v>442.66</v>
      </c>
      <c r="D47">
        <v>4.8680000000000001E-2</v>
      </c>
      <c r="E47">
        <v>2.1299999999999999E-3</v>
      </c>
      <c r="F47">
        <v>465.15</v>
      </c>
      <c r="G47">
        <v>0</v>
      </c>
      <c r="H47">
        <f t="shared" si="0"/>
        <v>0.95348500000000003</v>
      </c>
      <c r="I47">
        <v>21.544346999999998</v>
      </c>
      <c r="J47">
        <v>4.6415999999999999E-2</v>
      </c>
      <c r="K47">
        <f t="shared" si="5"/>
        <v>10000.027149580001</v>
      </c>
      <c r="M47" t="s">
        <v>112</v>
      </c>
      <c r="N47">
        <v>1000000000</v>
      </c>
      <c r="O47">
        <v>442.66</v>
      </c>
      <c r="P47">
        <v>21.544350000000001</v>
      </c>
      <c r="Q47">
        <v>4.6420000000000003E-2</v>
      </c>
      <c r="R47">
        <v>10000</v>
      </c>
      <c r="S47">
        <v>0</v>
      </c>
      <c r="T47">
        <f t="shared" si="2"/>
        <v>0</v>
      </c>
      <c r="U47" t="b">
        <f>T47&lt;=H47</f>
        <v>1</v>
      </c>
      <c r="V47">
        <f t="shared" si="3"/>
        <v>1.3924766450725423E-7</v>
      </c>
      <c r="W47">
        <f t="shared" si="4"/>
        <v>8.6177180282747334E-5</v>
      </c>
    </row>
    <row r="48" spans="1:23" x14ac:dyDescent="0.25">
      <c r="A48" t="s">
        <v>113</v>
      </c>
      <c r="B48">
        <v>1000000000</v>
      </c>
      <c r="C48">
        <v>443.15</v>
      </c>
      <c r="D48">
        <v>4.7460000000000002E-2</v>
      </c>
      <c r="E48">
        <v>9.8999999999999999E-4</v>
      </c>
      <c r="F48">
        <v>464.62</v>
      </c>
      <c r="G48">
        <v>0</v>
      </c>
      <c r="H48">
        <f t="shared" si="0"/>
        <v>0.95353799999999989</v>
      </c>
      <c r="I48">
        <v>21.544346999999998</v>
      </c>
      <c r="J48">
        <v>2.1544000000000001E-2</v>
      </c>
      <c r="K48">
        <f t="shared" si="5"/>
        <v>10000.074596649998</v>
      </c>
      <c r="M48" t="s">
        <v>113</v>
      </c>
      <c r="N48">
        <v>1000000000</v>
      </c>
      <c r="O48">
        <v>443.15</v>
      </c>
      <c r="P48">
        <v>21.544350000000001</v>
      </c>
      <c r="Q48">
        <v>2.154E-2</v>
      </c>
      <c r="R48">
        <v>10000</v>
      </c>
      <c r="S48">
        <v>0</v>
      </c>
      <c r="T48">
        <f t="shared" si="2"/>
        <v>0</v>
      </c>
      <c r="U48" t="b">
        <f>T48&lt;=H48</f>
        <v>1</v>
      </c>
      <c r="V48">
        <f t="shared" si="3"/>
        <v>1.3924766450725423E-7</v>
      </c>
      <c r="W48">
        <f t="shared" si="4"/>
        <v>1.8566654288899604E-4</v>
      </c>
    </row>
    <row r="49" spans="1:23" x14ac:dyDescent="0.25">
      <c r="A49" t="s">
        <v>114</v>
      </c>
      <c r="B49">
        <v>1000000000</v>
      </c>
      <c r="C49">
        <v>443.37</v>
      </c>
      <c r="D49">
        <v>4.6899999999999997E-2</v>
      </c>
      <c r="E49">
        <v>4.6000000000000001E-4</v>
      </c>
      <c r="F49">
        <v>464.37</v>
      </c>
      <c r="G49">
        <v>0</v>
      </c>
      <c r="H49">
        <f t="shared" si="0"/>
        <v>0.95356299999999994</v>
      </c>
      <c r="I49">
        <v>21.544346999999998</v>
      </c>
      <c r="J49">
        <v>0.01</v>
      </c>
      <c r="K49">
        <f t="shared" si="5"/>
        <v>9999.9208293899992</v>
      </c>
      <c r="M49" t="s">
        <v>114</v>
      </c>
      <c r="N49">
        <v>1000000000</v>
      </c>
      <c r="O49">
        <v>443.37</v>
      </c>
      <c r="P49">
        <v>21.544350000000001</v>
      </c>
      <c r="Q49">
        <v>0.01</v>
      </c>
      <c r="R49">
        <v>10000</v>
      </c>
      <c r="S49">
        <v>0</v>
      </c>
      <c r="T49">
        <f t="shared" si="2"/>
        <v>0</v>
      </c>
      <c r="U49" t="b">
        <f>T49&lt;=H49</f>
        <v>1</v>
      </c>
      <c r="V49">
        <f t="shared" si="3"/>
        <v>1.3924766450725423E-7</v>
      </c>
      <c r="W49">
        <f t="shared" si="4"/>
        <v>0</v>
      </c>
    </row>
    <row r="50" spans="1:23" x14ac:dyDescent="0.25">
      <c r="A50" t="s">
        <v>115</v>
      </c>
      <c r="B50">
        <v>1000000000</v>
      </c>
      <c r="C50">
        <v>443.48</v>
      </c>
      <c r="D50">
        <v>4.6640000000000001E-2</v>
      </c>
      <c r="E50">
        <v>2.1000000000000001E-4</v>
      </c>
      <c r="F50">
        <v>464.26</v>
      </c>
      <c r="G50">
        <v>0</v>
      </c>
      <c r="H50">
        <f t="shared" si="0"/>
        <v>0.95357400000000003</v>
      </c>
      <c r="I50">
        <v>21.544346999999998</v>
      </c>
      <c r="J50">
        <v>4.6420000000000003E-3</v>
      </c>
      <c r="K50">
        <f t="shared" si="5"/>
        <v>10000.02564172</v>
      </c>
      <c r="M50" t="s">
        <v>115</v>
      </c>
      <c r="N50">
        <v>1000000000</v>
      </c>
      <c r="O50">
        <v>443.48</v>
      </c>
      <c r="P50">
        <v>21.544350000000001</v>
      </c>
      <c r="Q50">
        <v>4.64E-3</v>
      </c>
      <c r="R50">
        <v>10000</v>
      </c>
      <c r="S50">
        <v>0</v>
      </c>
      <c r="T50">
        <f t="shared" si="2"/>
        <v>0</v>
      </c>
      <c r="U50" t="b">
        <f>T50&lt;=H50</f>
        <v>1</v>
      </c>
      <c r="V50">
        <f t="shared" si="3"/>
        <v>1.3924766450725423E-7</v>
      </c>
      <c r="W50">
        <f t="shared" si="4"/>
        <v>4.3084877208105675E-4</v>
      </c>
    </row>
    <row r="51" spans="1:23" x14ac:dyDescent="0.25">
      <c r="A51" t="s">
        <v>116</v>
      </c>
      <c r="B51">
        <v>1000000000</v>
      </c>
      <c r="C51">
        <v>443.53</v>
      </c>
      <c r="D51">
        <v>4.6519999999999999E-2</v>
      </c>
      <c r="E51">
        <v>1E-4</v>
      </c>
      <c r="F51">
        <v>464.2</v>
      </c>
      <c r="G51">
        <v>0</v>
      </c>
      <c r="H51">
        <f t="shared" si="0"/>
        <v>0.95357999999999987</v>
      </c>
      <c r="I51">
        <v>21.544346999999998</v>
      </c>
      <c r="J51">
        <v>2.1540000000000001E-3</v>
      </c>
      <c r="K51">
        <f t="shared" si="5"/>
        <v>10000.049588529999</v>
      </c>
      <c r="M51" t="s">
        <v>116</v>
      </c>
      <c r="N51">
        <v>999999999.99999928</v>
      </c>
      <c r="O51">
        <v>443.53</v>
      </c>
      <c r="P51">
        <v>21.544350000000001</v>
      </c>
      <c r="Q51">
        <v>2.15E-3</v>
      </c>
      <c r="R51">
        <v>10000</v>
      </c>
      <c r="S51">
        <v>0</v>
      </c>
      <c r="T51">
        <f t="shared" si="2"/>
        <v>0</v>
      </c>
      <c r="U51" t="b">
        <f>T51&lt;=H51</f>
        <v>1</v>
      </c>
      <c r="V51">
        <f t="shared" si="3"/>
        <v>1.3924766450725423E-7</v>
      </c>
      <c r="W51">
        <f t="shared" si="4"/>
        <v>1.8570102135562197E-3</v>
      </c>
    </row>
    <row r="52" spans="1:23" x14ac:dyDescent="0.25">
      <c r="A52" t="s">
        <v>117</v>
      </c>
      <c r="B52">
        <v>1000000000</v>
      </c>
      <c r="C52">
        <v>443.55</v>
      </c>
      <c r="D52">
        <v>4.6460000000000001E-2</v>
      </c>
      <c r="E52">
        <v>5.0000000000000002E-5</v>
      </c>
      <c r="F52">
        <v>464.18</v>
      </c>
      <c r="G52">
        <v>0</v>
      </c>
      <c r="H52">
        <f t="shared" si="0"/>
        <v>0.95358199999999993</v>
      </c>
      <c r="I52">
        <v>21.544346999999998</v>
      </c>
      <c r="J52">
        <v>1E-3</v>
      </c>
      <c r="K52">
        <f t="shared" si="5"/>
        <v>9999.9886618500004</v>
      </c>
      <c r="M52" t="s">
        <v>117</v>
      </c>
      <c r="N52">
        <v>1000000000</v>
      </c>
      <c r="O52">
        <v>443.55</v>
      </c>
      <c r="P52">
        <v>21.544350000000001</v>
      </c>
      <c r="Q52">
        <v>1E-3</v>
      </c>
      <c r="R52">
        <v>10000</v>
      </c>
      <c r="S52">
        <v>0</v>
      </c>
      <c r="T52">
        <f t="shared" si="2"/>
        <v>0</v>
      </c>
      <c r="U52" t="b">
        <f>T52&lt;=H52</f>
        <v>1</v>
      </c>
      <c r="V52">
        <f t="shared" si="3"/>
        <v>1.3924766450725423E-7</v>
      </c>
      <c r="W52">
        <f t="shared" si="4"/>
        <v>0</v>
      </c>
    </row>
    <row r="55" spans="1:23" x14ac:dyDescent="0.25">
      <c r="A55" t="s">
        <v>0</v>
      </c>
      <c r="B55" t="s">
        <v>1</v>
      </c>
      <c r="C55" t="s">
        <v>2</v>
      </c>
      <c r="D55" t="s">
        <v>3</v>
      </c>
      <c r="E55" t="s">
        <v>4</v>
      </c>
      <c r="F55" t="s">
        <v>5</v>
      </c>
      <c r="G55" t="s">
        <v>6</v>
      </c>
      <c r="M55" t="s">
        <v>0</v>
      </c>
      <c r="N55" t="s">
        <v>1</v>
      </c>
      <c r="O55" t="s">
        <v>2</v>
      </c>
      <c r="P55" t="s">
        <v>3</v>
      </c>
      <c r="Q55" t="s">
        <v>4</v>
      </c>
      <c r="R55" t="s">
        <v>5</v>
      </c>
      <c r="S55" t="s">
        <v>6</v>
      </c>
    </row>
    <row r="56" spans="1:23" x14ac:dyDescent="0.25">
      <c r="A56" t="s">
        <v>118</v>
      </c>
      <c r="B56">
        <v>1000000000</v>
      </c>
      <c r="C56">
        <v>476.19</v>
      </c>
      <c r="D56">
        <v>10</v>
      </c>
      <c r="E56">
        <v>10</v>
      </c>
      <c r="F56">
        <v>10000</v>
      </c>
      <c r="G56">
        <v>0</v>
      </c>
      <c r="H56">
        <f t="shared" si="0"/>
        <v>0</v>
      </c>
      <c r="I56">
        <v>10</v>
      </c>
      <c r="J56">
        <v>10</v>
      </c>
      <c r="K56">
        <f t="shared" ref="K56:K116" si="6">C56 *(1+I56+J56)</f>
        <v>9999.99</v>
      </c>
      <c r="M56" t="s">
        <v>118</v>
      </c>
      <c r="N56">
        <v>999999999.99999988</v>
      </c>
      <c r="O56">
        <v>476.19</v>
      </c>
      <c r="P56">
        <v>10</v>
      </c>
      <c r="Q56">
        <v>10</v>
      </c>
      <c r="R56">
        <v>10000</v>
      </c>
      <c r="S56">
        <v>0</v>
      </c>
      <c r="T56">
        <f t="shared" si="2"/>
        <v>0</v>
      </c>
      <c r="U56" t="b">
        <f>T56&lt;=H56</f>
        <v>1</v>
      </c>
      <c r="V56">
        <f t="shared" si="3"/>
        <v>0</v>
      </c>
      <c r="W56">
        <f t="shared" si="4"/>
        <v>0</v>
      </c>
    </row>
    <row r="57" spans="1:23" x14ac:dyDescent="0.25">
      <c r="A57" t="s">
        <v>119</v>
      </c>
      <c r="B57">
        <v>1000000000</v>
      </c>
      <c r="C57">
        <v>639.32000000000005</v>
      </c>
      <c r="D57">
        <v>1.0528500000000001</v>
      </c>
      <c r="E57">
        <v>0.86621999999999999</v>
      </c>
      <c r="F57">
        <v>1866.22</v>
      </c>
      <c r="G57">
        <v>0</v>
      </c>
      <c r="H57">
        <f t="shared" si="0"/>
        <v>0.81337799999999993</v>
      </c>
      <c r="I57">
        <v>10</v>
      </c>
      <c r="J57">
        <v>4.6415889999999997</v>
      </c>
      <c r="K57">
        <f t="shared" si="6"/>
        <v>9999.9806794800006</v>
      </c>
      <c r="M57" t="s">
        <v>119</v>
      </c>
      <c r="N57">
        <v>1000000000</v>
      </c>
      <c r="O57">
        <v>639.32000000000005</v>
      </c>
      <c r="P57">
        <v>10</v>
      </c>
      <c r="Q57">
        <v>4.6415899999999999</v>
      </c>
      <c r="R57">
        <v>10000</v>
      </c>
      <c r="S57">
        <v>0</v>
      </c>
      <c r="T57">
        <f t="shared" si="2"/>
        <v>0</v>
      </c>
      <c r="U57" t="b">
        <f>T57&lt;=H57</f>
        <v>1</v>
      </c>
      <c r="V57">
        <f t="shared" si="3"/>
        <v>0</v>
      </c>
      <c r="W57">
        <f t="shared" si="4"/>
        <v>2.1544346131029224E-7</v>
      </c>
    </row>
    <row r="58" spans="1:23" x14ac:dyDescent="0.25">
      <c r="A58" t="s">
        <v>120</v>
      </c>
      <c r="B58">
        <v>1000000000</v>
      </c>
      <c r="C58">
        <v>760.2</v>
      </c>
      <c r="D58">
        <v>0.40206999999999998</v>
      </c>
      <c r="E58">
        <v>0.27461000000000002</v>
      </c>
      <c r="F58">
        <v>1274.6099999999999</v>
      </c>
      <c r="G58">
        <v>0</v>
      </c>
      <c r="H58">
        <f t="shared" si="0"/>
        <v>0.87253899999999995</v>
      </c>
      <c r="I58">
        <v>10</v>
      </c>
      <c r="J58">
        <v>2.1544349999999999</v>
      </c>
      <c r="K58">
        <f t="shared" si="6"/>
        <v>10000.001487</v>
      </c>
      <c r="M58" t="s">
        <v>120</v>
      </c>
      <c r="N58">
        <v>1000000000</v>
      </c>
      <c r="O58">
        <v>760.2</v>
      </c>
      <c r="P58">
        <v>10</v>
      </c>
      <c r="Q58">
        <v>2.1544300000000001</v>
      </c>
      <c r="R58">
        <v>10000</v>
      </c>
      <c r="S58">
        <v>0</v>
      </c>
      <c r="T58">
        <f t="shared" si="2"/>
        <v>0</v>
      </c>
      <c r="U58" t="b">
        <f>T58&lt;=H58</f>
        <v>1</v>
      </c>
      <c r="V58">
        <f t="shared" si="3"/>
        <v>0</v>
      </c>
      <c r="W58">
        <f t="shared" si="4"/>
        <v>2.3207940828155464E-6</v>
      </c>
    </row>
    <row r="59" spans="1:23" x14ac:dyDescent="0.25">
      <c r="A59" t="s">
        <v>121</v>
      </c>
      <c r="B59">
        <v>1000000000</v>
      </c>
      <c r="C59">
        <v>833.33</v>
      </c>
      <c r="D59">
        <v>0.22222</v>
      </c>
      <c r="E59">
        <v>0.10978</v>
      </c>
      <c r="F59">
        <v>1110</v>
      </c>
      <c r="G59">
        <v>0</v>
      </c>
      <c r="H59">
        <f t="shared" si="0"/>
        <v>0.88900000000000001</v>
      </c>
      <c r="I59">
        <v>10</v>
      </c>
      <c r="J59">
        <v>1</v>
      </c>
      <c r="K59">
        <f t="shared" si="6"/>
        <v>9999.9600000000009</v>
      </c>
      <c r="M59" t="s">
        <v>121</v>
      </c>
      <c r="N59">
        <v>1000000000</v>
      </c>
      <c r="O59">
        <v>833.33</v>
      </c>
      <c r="P59">
        <v>10</v>
      </c>
      <c r="Q59">
        <v>1</v>
      </c>
      <c r="R59">
        <v>10000</v>
      </c>
      <c r="S59">
        <v>0</v>
      </c>
      <c r="T59">
        <f t="shared" si="2"/>
        <v>0</v>
      </c>
      <c r="U59" t="b">
        <f>T59&lt;=H59</f>
        <v>1</v>
      </c>
      <c r="V59">
        <f t="shared" si="3"/>
        <v>0</v>
      </c>
      <c r="W59">
        <f t="shared" si="4"/>
        <v>0</v>
      </c>
    </row>
    <row r="60" spans="1:23" x14ac:dyDescent="0.25">
      <c r="A60" t="s">
        <v>122</v>
      </c>
      <c r="B60">
        <v>1000000000</v>
      </c>
      <c r="C60">
        <v>872.28</v>
      </c>
      <c r="D60">
        <v>0.15354000000000001</v>
      </c>
      <c r="E60">
        <v>4.8059999999999999E-2</v>
      </c>
      <c r="F60">
        <v>1048.1400000000001</v>
      </c>
      <c r="G60">
        <v>0</v>
      </c>
      <c r="H60">
        <f t="shared" si="0"/>
        <v>0.89518600000000004</v>
      </c>
      <c r="I60">
        <v>10</v>
      </c>
      <c r="J60">
        <v>0.46415899999999999</v>
      </c>
      <c r="K60">
        <f t="shared" si="6"/>
        <v>9999.9566125199999</v>
      </c>
      <c r="M60" t="s">
        <v>122</v>
      </c>
      <c r="N60">
        <v>1000000000</v>
      </c>
      <c r="O60">
        <v>872.28</v>
      </c>
      <c r="P60">
        <v>10</v>
      </c>
      <c r="Q60">
        <v>0.46416000000000002</v>
      </c>
      <c r="R60">
        <v>10000</v>
      </c>
      <c r="S60">
        <v>0</v>
      </c>
      <c r="T60">
        <f t="shared" si="2"/>
        <v>0</v>
      </c>
      <c r="U60" t="b">
        <f>T60&lt;=H60</f>
        <v>1</v>
      </c>
      <c r="V60">
        <f t="shared" si="3"/>
        <v>0</v>
      </c>
      <c r="W60">
        <f t="shared" si="4"/>
        <v>2.154434148704982E-6</v>
      </c>
    </row>
    <row r="61" spans="1:23" x14ac:dyDescent="0.25">
      <c r="A61" t="s">
        <v>123</v>
      </c>
      <c r="B61">
        <v>1000000000</v>
      </c>
      <c r="C61">
        <v>891.63</v>
      </c>
      <c r="D61">
        <v>0.12422</v>
      </c>
      <c r="E61">
        <v>2.1729999999999999E-2</v>
      </c>
      <c r="F61">
        <v>1021.76</v>
      </c>
      <c r="G61">
        <v>0</v>
      </c>
      <c r="H61">
        <f t="shared" si="0"/>
        <v>0.89782399999999996</v>
      </c>
      <c r="I61">
        <v>10</v>
      </c>
      <c r="J61">
        <v>0.215443</v>
      </c>
      <c r="K61">
        <f t="shared" si="6"/>
        <v>10000.02544209</v>
      </c>
      <c r="M61" t="s">
        <v>123</v>
      </c>
      <c r="N61">
        <v>1000000000</v>
      </c>
      <c r="O61">
        <v>891.63</v>
      </c>
      <c r="P61">
        <v>10</v>
      </c>
      <c r="Q61">
        <v>0.21543999999999999</v>
      </c>
      <c r="R61">
        <v>10000</v>
      </c>
      <c r="S61">
        <v>0</v>
      </c>
      <c r="T61">
        <f t="shared" si="2"/>
        <v>0</v>
      </c>
      <c r="U61" t="b">
        <f>T61&lt;=H61</f>
        <v>1</v>
      </c>
      <c r="V61">
        <f t="shared" si="3"/>
        <v>0</v>
      </c>
      <c r="W61">
        <f t="shared" si="4"/>
        <v>1.3924796814020416E-5</v>
      </c>
    </row>
    <row r="62" spans="1:23" x14ac:dyDescent="0.25">
      <c r="A62" t="s">
        <v>124</v>
      </c>
      <c r="B62">
        <v>1000000000</v>
      </c>
      <c r="C62">
        <v>900.9</v>
      </c>
      <c r="D62">
        <v>0.11111</v>
      </c>
      <c r="E62">
        <v>9.9699999999999997E-3</v>
      </c>
      <c r="F62">
        <v>1009.98</v>
      </c>
      <c r="G62">
        <v>0</v>
      </c>
      <c r="H62">
        <f t="shared" si="0"/>
        <v>0.89900200000000008</v>
      </c>
      <c r="I62">
        <v>10</v>
      </c>
      <c r="J62">
        <v>0.1</v>
      </c>
      <c r="K62">
        <f t="shared" si="6"/>
        <v>9999.99</v>
      </c>
      <c r="M62" t="s">
        <v>124</v>
      </c>
      <c r="N62">
        <v>1000000000</v>
      </c>
      <c r="O62">
        <v>900.9</v>
      </c>
      <c r="P62">
        <v>10</v>
      </c>
      <c r="Q62">
        <v>0.1</v>
      </c>
      <c r="R62">
        <v>10000</v>
      </c>
      <c r="S62">
        <v>0</v>
      </c>
      <c r="T62">
        <f t="shared" si="2"/>
        <v>0</v>
      </c>
      <c r="U62" t="b">
        <f>T62&lt;=H62</f>
        <v>1</v>
      </c>
      <c r="V62">
        <f t="shared" si="3"/>
        <v>0</v>
      </c>
      <c r="W62">
        <f t="shared" si="4"/>
        <v>0</v>
      </c>
    </row>
    <row r="63" spans="1:23" x14ac:dyDescent="0.25">
      <c r="A63" t="s">
        <v>125</v>
      </c>
      <c r="B63">
        <v>1000000000</v>
      </c>
      <c r="C63">
        <v>905.27</v>
      </c>
      <c r="D63">
        <v>0.10513</v>
      </c>
      <c r="E63">
        <v>4.5999999999999999E-3</v>
      </c>
      <c r="F63">
        <v>1004.61</v>
      </c>
      <c r="G63">
        <v>0</v>
      </c>
      <c r="H63">
        <f t="shared" si="0"/>
        <v>0.89953899999999998</v>
      </c>
      <c r="I63">
        <v>10</v>
      </c>
      <c r="J63">
        <v>4.6415999999999999E-2</v>
      </c>
      <c r="K63">
        <f t="shared" si="6"/>
        <v>9999.9890123200003</v>
      </c>
      <c r="M63" t="s">
        <v>125</v>
      </c>
      <c r="N63">
        <v>1000000000</v>
      </c>
      <c r="O63">
        <v>905.27</v>
      </c>
      <c r="P63">
        <v>10</v>
      </c>
      <c r="Q63">
        <v>4.6420000000000003E-2</v>
      </c>
      <c r="R63">
        <v>10000</v>
      </c>
      <c r="S63">
        <v>0</v>
      </c>
      <c r="T63">
        <f t="shared" si="2"/>
        <v>0</v>
      </c>
      <c r="U63" t="b">
        <f>T63&lt;=H63</f>
        <v>1</v>
      </c>
      <c r="V63">
        <f t="shared" si="3"/>
        <v>0</v>
      </c>
      <c r="W63">
        <f t="shared" si="4"/>
        <v>8.6177180282747334E-5</v>
      </c>
    </row>
    <row r="64" spans="1:23" x14ac:dyDescent="0.25">
      <c r="A64" t="s">
        <v>126</v>
      </c>
      <c r="B64">
        <v>1000000000</v>
      </c>
      <c r="C64">
        <v>907.31</v>
      </c>
      <c r="D64">
        <v>0.10237</v>
      </c>
      <c r="E64">
        <v>2.1299999999999999E-3</v>
      </c>
      <c r="F64">
        <v>1002.13</v>
      </c>
      <c r="G64">
        <v>0</v>
      </c>
      <c r="H64">
        <f t="shared" si="0"/>
        <v>0.89978700000000011</v>
      </c>
      <c r="I64">
        <v>10</v>
      </c>
      <c r="J64">
        <v>2.1544000000000001E-2</v>
      </c>
      <c r="K64">
        <f t="shared" si="6"/>
        <v>9999.957086639999</v>
      </c>
      <c r="M64" t="s">
        <v>126</v>
      </c>
      <c r="N64">
        <v>1000000000</v>
      </c>
      <c r="O64">
        <v>907.31</v>
      </c>
      <c r="P64">
        <v>10</v>
      </c>
      <c r="Q64">
        <v>2.154E-2</v>
      </c>
      <c r="R64">
        <v>10000</v>
      </c>
      <c r="S64">
        <v>0</v>
      </c>
      <c r="T64">
        <f t="shared" si="2"/>
        <v>0</v>
      </c>
      <c r="U64" t="b">
        <f>T64&lt;=H64</f>
        <v>1</v>
      </c>
      <c r="V64">
        <f t="shared" si="3"/>
        <v>0</v>
      </c>
      <c r="W64">
        <f t="shared" si="4"/>
        <v>1.8566654288899604E-4</v>
      </c>
    </row>
    <row r="65" spans="1:23" x14ac:dyDescent="0.25">
      <c r="A65" t="s">
        <v>127</v>
      </c>
      <c r="B65">
        <v>1000000000</v>
      </c>
      <c r="C65">
        <v>908.27</v>
      </c>
      <c r="D65">
        <v>0.1011</v>
      </c>
      <c r="E65">
        <v>9.8999999999999999E-4</v>
      </c>
      <c r="F65">
        <v>1000.99</v>
      </c>
      <c r="G65">
        <v>0</v>
      </c>
      <c r="H65">
        <f t="shared" si="0"/>
        <v>0.89990100000000006</v>
      </c>
      <c r="I65">
        <v>10</v>
      </c>
      <c r="J65">
        <v>0.01</v>
      </c>
      <c r="K65">
        <f t="shared" si="6"/>
        <v>10000.0527</v>
      </c>
      <c r="M65" t="s">
        <v>127</v>
      </c>
      <c r="N65">
        <v>1000000000</v>
      </c>
      <c r="O65">
        <v>908.27</v>
      </c>
      <c r="P65">
        <v>10</v>
      </c>
      <c r="Q65">
        <v>0.01</v>
      </c>
      <c r="R65">
        <v>10000</v>
      </c>
      <c r="S65">
        <v>0</v>
      </c>
      <c r="T65">
        <f t="shared" si="2"/>
        <v>0</v>
      </c>
      <c r="U65" t="b">
        <f>T65&lt;=H65</f>
        <v>1</v>
      </c>
      <c r="V65">
        <f t="shared" si="3"/>
        <v>0</v>
      </c>
      <c r="W65">
        <f t="shared" si="4"/>
        <v>0</v>
      </c>
    </row>
    <row r="66" spans="1:23" x14ac:dyDescent="0.25">
      <c r="A66" t="s">
        <v>128</v>
      </c>
      <c r="B66">
        <v>1000000000</v>
      </c>
      <c r="C66">
        <v>908.71</v>
      </c>
      <c r="D66">
        <v>0.10051</v>
      </c>
      <c r="E66">
        <v>4.6000000000000001E-4</v>
      </c>
      <c r="F66">
        <v>1000.46</v>
      </c>
      <c r="G66">
        <v>0</v>
      </c>
      <c r="H66">
        <f t="shared" si="0"/>
        <v>0.89995400000000014</v>
      </c>
      <c r="I66">
        <v>10</v>
      </c>
      <c r="J66">
        <v>4.6420000000000003E-3</v>
      </c>
      <c r="K66">
        <f t="shared" si="6"/>
        <v>10000.028231820001</v>
      </c>
      <c r="M66" t="s">
        <v>128</v>
      </c>
      <c r="N66">
        <v>1000000000</v>
      </c>
      <c r="O66">
        <v>908.71</v>
      </c>
      <c r="P66">
        <v>10</v>
      </c>
      <c r="Q66">
        <v>4.64E-3</v>
      </c>
      <c r="R66">
        <v>10000</v>
      </c>
      <c r="S66">
        <v>0</v>
      </c>
      <c r="T66">
        <f t="shared" si="2"/>
        <v>0</v>
      </c>
      <c r="U66" t="b">
        <f>T66&lt;=H66</f>
        <v>1</v>
      </c>
      <c r="V66">
        <f t="shared" si="3"/>
        <v>0</v>
      </c>
      <c r="W66">
        <f t="shared" si="4"/>
        <v>4.3084877208105675E-4</v>
      </c>
    </row>
    <row r="67" spans="1:23" x14ac:dyDescent="0.25">
      <c r="A67" t="s">
        <v>129</v>
      </c>
      <c r="B67">
        <v>1000000000</v>
      </c>
      <c r="C67">
        <v>908.91</v>
      </c>
      <c r="D67">
        <v>0.10024</v>
      </c>
      <c r="E67">
        <v>2.1000000000000001E-4</v>
      </c>
      <c r="F67">
        <v>1000.21</v>
      </c>
      <c r="G67">
        <v>0</v>
      </c>
      <c r="H67">
        <f t="shared" ref="H67:H130" si="7">ABS(10000-F67)/10000</f>
        <v>0.89997900000000008</v>
      </c>
      <c r="I67">
        <v>10</v>
      </c>
      <c r="J67">
        <v>2.1540000000000001E-3</v>
      </c>
      <c r="K67">
        <f t="shared" si="6"/>
        <v>9999.9677921399998</v>
      </c>
      <c r="M67" t="s">
        <v>129</v>
      </c>
      <c r="N67">
        <v>1000000000</v>
      </c>
      <c r="O67">
        <v>908.91</v>
      </c>
      <c r="P67">
        <v>10</v>
      </c>
      <c r="Q67">
        <v>2.15E-3</v>
      </c>
      <c r="R67">
        <v>10000</v>
      </c>
      <c r="S67">
        <v>0</v>
      </c>
      <c r="T67">
        <f t="shared" ref="T67:T130" si="8">ABS(10000-R67)/10000</f>
        <v>0</v>
      </c>
      <c r="U67" t="b">
        <f>T67&lt;=H67</f>
        <v>1</v>
      </c>
      <c r="V67">
        <f t="shared" ref="V67:V130" si="9">ABS(I67-P67)/I67</f>
        <v>0</v>
      </c>
      <c r="W67">
        <f t="shared" ref="W67:W130" si="10">ABS(J67-Q67)/J67</f>
        <v>1.8570102135562197E-3</v>
      </c>
    </row>
    <row r="68" spans="1:23" x14ac:dyDescent="0.25">
      <c r="A68" t="s">
        <v>130</v>
      </c>
      <c r="B68">
        <v>1000000000</v>
      </c>
      <c r="C68">
        <v>909.01</v>
      </c>
      <c r="D68">
        <v>0.10011</v>
      </c>
      <c r="E68">
        <v>1E-4</v>
      </c>
      <c r="F68">
        <v>1000.1</v>
      </c>
      <c r="G68">
        <v>0</v>
      </c>
      <c r="H68">
        <f t="shared" si="7"/>
        <v>0.89998999999999996</v>
      </c>
      <c r="I68">
        <v>10</v>
      </c>
      <c r="J68">
        <v>1E-3</v>
      </c>
      <c r="K68">
        <f t="shared" si="6"/>
        <v>10000.01901</v>
      </c>
      <c r="M68" t="s">
        <v>130</v>
      </c>
      <c r="N68">
        <v>1000000000</v>
      </c>
      <c r="O68">
        <v>909.01</v>
      </c>
      <c r="P68">
        <v>10</v>
      </c>
      <c r="Q68">
        <v>1E-3</v>
      </c>
      <c r="R68">
        <v>10000</v>
      </c>
      <c r="S68">
        <v>0</v>
      </c>
      <c r="T68">
        <f t="shared" si="8"/>
        <v>0</v>
      </c>
      <c r="U68" t="b">
        <f>T68&lt;=H68</f>
        <v>1</v>
      </c>
      <c r="V68">
        <f t="shared" si="9"/>
        <v>0</v>
      </c>
      <c r="W68">
        <f t="shared" si="10"/>
        <v>0</v>
      </c>
    </row>
    <row r="71" spans="1:23" x14ac:dyDescent="0.25">
      <c r="A71" t="s">
        <v>0</v>
      </c>
      <c r="B71" t="s">
        <v>1</v>
      </c>
      <c r="C71" t="s">
        <v>2</v>
      </c>
      <c r="D71" t="s">
        <v>3</v>
      </c>
      <c r="E71" t="s">
        <v>4</v>
      </c>
      <c r="F71" t="s">
        <v>5</v>
      </c>
      <c r="G71" t="s">
        <v>6</v>
      </c>
      <c r="M71" t="s">
        <v>0</v>
      </c>
      <c r="N71" t="s">
        <v>1</v>
      </c>
      <c r="O71" t="s">
        <v>2</v>
      </c>
      <c r="P71" t="s">
        <v>3</v>
      </c>
      <c r="Q71" t="s">
        <v>4</v>
      </c>
      <c r="R71" t="s">
        <v>5</v>
      </c>
      <c r="S71" t="s">
        <v>6</v>
      </c>
    </row>
    <row r="72" spans="1:23" x14ac:dyDescent="0.25">
      <c r="A72" t="s">
        <v>131</v>
      </c>
      <c r="B72">
        <v>1000000000</v>
      </c>
      <c r="C72">
        <v>972.46</v>
      </c>
      <c r="D72">
        <v>4.6415899999999999</v>
      </c>
      <c r="E72">
        <v>4.6415899999999999</v>
      </c>
      <c r="F72">
        <v>10000</v>
      </c>
      <c r="G72">
        <v>0</v>
      </c>
      <c r="H72">
        <f t="shared" si="7"/>
        <v>0</v>
      </c>
      <c r="I72">
        <v>4.6415889999999997</v>
      </c>
      <c r="J72">
        <v>4.6415889999999997</v>
      </c>
      <c r="K72">
        <f t="shared" ref="K72:K133" si="11">C72*(1+I72+J72)</f>
        <v>9999.9792778800002</v>
      </c>
      <c r="M72" t="s">
        <v>131</v>
      </c>
      <c r="N72">
        <v>1000000000</v>
      </c>
      <c r="O72">
        <v>972.46</v>
      </c>
      <c r="P72">
        <v>4.6415899999999999</v>
      </c>
      <c r="Q72">
        <v>4.6415899999999999</v>
      </c>
      <c r="R72">
        <v>10000</v>
      </c>
      <c r="S72">
        <v>0</v>
      </c>
      <c r="T72">
        <f t="shared" si="8"/>
        <v>0</v>
      </c>
      <c r="U72" t="b">
        <f>T72&lt;=H72</f>
        <v>1</v>
      </c>
      <c r="V72">
        <f t="shared" si="9"/>
        <v>2.1544346131029224E-7</v>
      </c>
      <c r="W72">
        <f t="shared" si="10"/>
        <v>2.1544346131029224E-7</v>
      </c>
    </row>
    <row r="73" spans="1:23" x14ac:dyDescent="0.25">
      <c r="A73" t="s">
        <v>132</v>
      </c>
      <c r="B73">
        <v>1000000000</v>
      </c>
      <c r="C73">
        <v>1282.71</v>
      </c>
      <c r="D73">
        <v>1.2682899999999999</v>
      </c>
      <c r="E73">
        <v>0.86621999999999999</v>
      </c>
      <c r="F73">
        <v>4020.66</v>
      </c>
      <c r="G73">
        <v>0</v>
      </c>
      <c r="H73">
        <f t="shared" si="7"/>
        <v>0.59793399999999997</v>
      </c>
      <c r="I73">
        <v>4.6415889999999997</v>
      </c>
      <c r="J73">
        <v>2.1544349999999999</v>
      </c>
      <c r="K73">
        <f t="shared" si="11"/>
        <v>10000.03794504</v>
      </c>
      <c r="M73" t="s">
        <v>132</v>
      </c>
      <c r="N73">
        <v>1000000000</v>
      </c>
      <c r="O73">
        <v>1282.71</v>
      </c>
      <c r="P73">
        <v>4.6415899999999999</v>
      </c>
      <c r="Q73">
        <v>2.1544300000000001</v>
      </c>
      <c r="R73">
        <v>10000</v>
      </c>
      <c r="S73">
        <v>0</v>
      </c>
      <c r="T73">
        <f t="shared" si="8"/>
        <v>0</v>
      </c>
      <c r="U73" t="b">
        <f>T73&lt;=H73</f>
        <v>1</v>
      </c>
      <c r="V73">
        <f t="shared" si="9"/>
        <v>2.1544346131029224E-7</v>
      </c>
      <c r="W73">
        <f t="shared" si="10"/>
        <v>2.3207940828155464E-6</v>
      </c>
    </row>
    <row r="74" spans="1:23" x14ac:dyDescent="0.25">
      <c r="A74" t="s">
        <v>133</v>
      </c>
      <c r="B74">
        <v>1000000000</v>
      </c>
      <c r="C74">
        <v>1505.66</v>
      </c>
      <c r="D74">
        <v>0.54920999999999998</v>
      </c>
      <c r="E74">
        <v>0.27461000000000002</v>
      </c>
      <c r="F74">
        <v>2746.05</v>
      </c>
      <c r="G74">
        <v>0</v>
      </c>
      <c r="H74">
        <f t="shared" si="7"/>
        <v>0.72539500000000001</v>
      </c>
      <c r="I74">
        <v>4.6415889999999997</v>
      </c>
      <c r="J74">
        <v>1</v>
      </c>
      <c r="K74">
        <f t="shared" si="11"/>
        <v>9999.97489374</v>
      </c>
      <c r="M74" t="s">
        <v>133</v>
      </c>
      <c r="N74">
        <v>1000000000</v>
      </c>
      <c r="O74">
        <v>1505.66</v>
      </c>
      <c r="P74">
        <v>4.6415899999999999</v>
      </c>
      <c r="Q74">
        <v>1</v>
      </c>
      <c r="R74">
        <v>10000</v>
      </c>
      <c r="S74">
        <v>0</v>
      </c>
      <c r="T74">
        <f t="shared" si="8"/>
        <v>0</v>
      </c>
      <c r="U74" t="b">
        <f>T74&lt;=H74</f>
        <v>1</v>
      </c>
      <c r="V74">
        <f t="shared" si="9"/>
        <v>2.1544346131029224E-7</v>
      </c>
      <c r="W74">
        <f t="shared" si="10"/>
        <v>0</v>
      </c>
    </row>
    <row r="75" spans="1:23" x14ac:dyDescent="0.25">
      <c r="A75" t="s">
        <v>134</v>
      </c>
      <c r="B75">
        <v>1000000000</v>
      </c>
      <c r="C75">
        <v>1637.8</v>
      </c>
      <c r="D75">
        <v>0.35049000000000002</v>
      </c>
      <c r="E75">
        <v>0.10972999999999999</v>
      </c>
      <c r="F75">
        <v>2391.5500000000002</v>
      </c>
      <c r="G75">
        <v>0</v>
      </c>
      <c r="H75">
        <f t="shared" si="7"/>
        <v>0.76084499999999999</v>
      </c>
      <c r="I75">
        <v>4.6415889999999997</v>
      </c>
      <c r="J75">
        <v>0.46415899999999999</v>
      </c>
      <c r="K75">
        <f t="shared" si="11"/>
        <v>9999.9940743999996</v>
      </c>
      <c r="M75" t="s">
        <v>134</v>
      </c>
      <c r="N75">
        <v>1000000000</v>
      </c>
      <c r="O75">
        <v>1637.8</v>
      </c>
      <c r="P75">
        <v>4.6415899999999999</v>
      </c>
      <c r="Q75">
        <v>0.46416000000000002</v>
      </c>
      <c r="R75">
        <v>10000</v>
      </c>
      <c r="S75">
        <v>0</v>
      </c>
      <c r="T75">
        <f t="shared" si="8"/>
        <v>0</v>
      </c>
      <c r="U75" t="b">
        <f>T75&lt;=H75</f>
        <v>1</v>
      </c>
      <c r="V75">
        <f t="shared" si="9"/>
        <v>2.1544346131029224E-7</v>
      </c>
      <c r="W75">
        <f t="shared" si="10"/>
        <v>2.154434148704982E-6</v>
      </c>
    </row>
    <row r="76" spans="1:23" x14ac:dyDescent="0.25">
      <c r="A76" t="s">
        <v>135</v>
      </c>
      <c r="B76">
        <v>1000000000</v>
      </c>
      <c r="C76">
        <v>1707.35</v>
      </c>
      <c r="D76">
        <v>0.27461000000000002</v>
      </c>
      <c r="E76">
        <v>4.8039999999999999E-2</v>
      </c>
      <c r="F76">
        <v>2258.21</v>
      </c>
      <c r="G76">
        <v>0</v>
      </c>
      <c r="H76">
        <f t="shared" si="7"/>
        <v>0.77417899999999995</v>
      </c>
      <c r="I76">
        <v>4.6415889999999997</v>
      </c>
      <c r="J76">
        <v>0.215443</v>
      </c>
      <c r="K76">
        <f t="shared" si="11"/>
        <v>10000.003585199998</v>
      </c>
      <c r="M76" t="s">
        <v>135</v>
      </c>
      <c r="N76">
        <v>1000000000</v>
      </c>
      <c r="O76">
        <v>1707.35</v>
      </c>
      <c r="P76">
        <v>4.6415899999999999</v>
      </c>
      <c r="Q76">
        <v>0.21543999999999999</v>
      </c>
      <c r="R76">
        <v>10000</v>
      </c>
      <c r="S76">
        <v>0</v>
      </c>
      <c r="T76">
        <f t="shared" si="8"/>
        <v>0</v>
      </c>
      <c r="U76" t="b">
        <f>T76&lt;=H76</f>
        <v>1</v>
      </c>
      <c r="V76">
        <f t="shared" si="9"/>
        <v>2.1544346131029224E-7</v>
      </c>
      <c r="W76">
        <f t="shared" si="10"/>
        <v>1.3924796814020416E-5</v>
      </c>
    </row>
    <row r="77" spans="1:23" x14ac:dyDescent="0.25">
      <c r="A77" t="s">
        <v>136</v>
      </c>
      <c r="B77">
        <v>1000000000</v>
      </c>
      <c r="C77">
        <v>1741.68</v>
      </c>
      <c r="D77">
        <v>0.24221000000000001</v>
      </c>
      <c r="E77">
        <v>2.172E-2</v>
      </c>
      <c r="F77">
        <v>2201.36</v>
      </c>
      <c r="G77">
        <v>0</v>
      </c>
      <c r="H77">
        <f t="shared" si="7"/>
        <v>0.77986399999999989</v>
      </c>
      <c r="I77">
        <v>4.6415889999999997</v>
      </c>
      <c r="J77">
        <v>0.1</v>
      </c>
      <c r="K77">
        <f t="shared" si="11"/>
        <v>10000.01072952</v>
      </c>
      <c r="M77" t="s">
        <v>136</v>
      </c>
      <c r="N77">
        <v>1000000000</v>
      </c>
      <c r="O77">
        <v>1741.68</v>
      </c>
      <c r="P77">
        <v>4.6415899999999999</v>
      </c>
      <c r="Q77">
        <v>0.1</v>
      </c>
      <c r="R77">
        <v>10000</v>
      </c>
      <c r="S77">
        <v>0</v>
      </c>
      <c r="T77">
        <f t="shared" si="8"/>
        <v>0</v>
      </c>
      <c r="U77" t="b">
        <f>T77&lt;=H77</f>
        <v>1</v>
      </c>
      <c r="V77">
        <f t="shared" si="9"/>
        <v>2.1544346131029224E-7</v>
      </c>
      <c r="W77">
        <f t="shared" si="10"/>
        <v>0</v>
      </c>
    </row>
    <row r="78" spans="1:23" x14ac:dyDescent="0.25">
      <c r="A78" t="s">
        <v>137</v>
      </c>
      <c r="B78">
        <v>1000000000</v>
      </c>
      <c r="C78">
        <v>1758.09</v>
      </c>
      <c r="D78">
        <v>0.22772000000000001</v>
      </c>
      <c r="E78">
        <v>9.9600000000000001E-3</v>
      </c>
      <c r="F78">
        <v>2175.96</v>
      </c>
      <c r="G78">
        <v>0</v>
      </c>
      <c r="H78">
        <f t="shared" si="7"/>
        <v>0.78240399999999999</v>
      </c>
      <c r="I78">
        <v>4.6415889999999997</v>
      </c>
      <c r="J78">
        <v>4.6415999999999999E-2</v>
      </c>
      <c r="K78">
        <f t="shared" si="11"/>
        <v>10000.024710449999</v>
      </c>
      <c r="M78" t="s">
        <v>137</v>
      </c>
      <c r="N78">
        <v>1000000000</v>
      </c>
      <c r="O78">
        <v>1758.09</v>
      </c>
      <c r="P78">
        <v>4.6415899999999999</v>
      </c>
      <c r="Q78">
        <v>4.6420000000000003E-2</v>
      </c>
      <c r="R78">
        <v>10000</v>
      </c>
      <c r="S78">
        <v>0</v>
      </c>
      <c r="T78">
        <f t="shared" si="8"/>
        <v>0</v>
      </c>
      <c r="U78" t="b">
        <f>T78&lt;=H78</f>
        <v>1</v>
      </c>
      <c r="V78">
        <f t="shared" si="9"/>
        <v>2.1544346131029224E-7</v>
      </c>
      <c r="W78">
        <f t="shared" si="10"/>
        <v>8.6177180282747334E-5</v>
      </c>
    </row>
    <row r="79" spans="1:23" x14ac:dyDescent="0.25">
      <c r="A79" t="s">
        <v>138</v>
      </c>
      <c r="B79">
        <v>1000000000</v>
      </c>
      <c r="C79">
        <v>1765.81</v>
      </c>
      <c r="D79">
        <v>0.22111</v>
      </c>
      <c r="E79">
        <v>4.5999999999999999E-3</v>
      </c>
      <c r="F79">
        <v>2164.37</v>
      </c>
      <c r="G79">
        <v>0</v>
      </c>
      <c r="H79">
        <f t="shared" si="7"/>
        <v>0.78356300000000001</v>
      </c>
      <c r="I79">
        <v>4.6415889999999997</v>
      </c>
      <c r="J79">
        <v>2.1544000000000001E-2</v>
      </c>
      <c r="K79">
        <f t="shared" si="11"/>
        <v>10000.016882729999</v>
      </c>
      <c r="M79" t="s">
        <v>138</v>
      </c>
      <c r="N79">
        <v>1000000000</v>
      </c>
      <c r="O79">
        <v>1765.81</v>
      </c>
      <c r="P79">
        <v>4.6415899999999999</v>
      </c>
      <c r="Q79">
        <v>2.154E-2</v>
      </c>
      <c r="R79">
        <v>10000</v>
      </c>
      <c r="S79">
        <v>0</v>
      </c>
      <c r="T79">
        <f t="shared" si="8"/>
        <v>0</v>
      </c>
      <c r="U79" t="b">
        <f>T79&lt;=H79</f>
        <v>1</v>
      </c>
      <c r="V79">
        <f t="shared" si="9"/>
        <v>2.1544346131029224E-7</v>
      </c>
      <c r="W79">
        <f t="shared" si="10"/>
        <v>1.8566654288899604E-4</v>
      </c>
    </row>
    <row r="80" spans="1:23" x14ac:dyDescent="0.25">
      <c r="A80" t="s">
        <v>139</v>
      </c>
      <c r="B80">
        <v>1000000000</v>
      </c>
      <c r="C80">
        <v>1769.41</v>
      </c>
      <c r="D80">
        <v>0.21807000000000001</v>
      </c>
      <c r="E80">
        <v>2.1299999999999999E-3</v>
      </c>
      <c r="F80">
        <v>2159.0300000000002</v>
      </c>
      <c r="G80">
        <v>0</v>
      </c>
      <c r="H80">
        <f t="shared" si="7"/>
        <v>0.78409699999999993</v>
      </c>
      <c r="I80">
        <v>4.6415889999999997</v>
      </c>
      <c r="J80">
        <v>0.01</v>
      </c>
      <c r="K80">
        <f t="shared" si="11"/>
        <v>9999.9780924899987</v>
      </c>
      <c r="M80" t="s">
        <v>139</v>
      </c>
      <c r="N80">
        <v>1000000000</v>
      </c>
      <c r="O80">
        <v>1769.41</v>
      </c>
      <c r="P80">
        <v>4.6415899999999999</v>
      </c>
      <c r="Q80">
        <v>0.01</v>
      </c>
      <c r="R80">
        <v>10000</v>
      </c>
      <c r="S80">
        <v>0</v>
      </c>
      <c r="T80">
        <f t="shared" si="8"/>
        <v>0</v>
      </c>
      <c r="U80" t="b">
        <f>T80&lt;=H80</f>
        <v>1</v>
      </c>
      <c r="V80">
        <f t="shared" si="9"/>
        <v>2.1544346131029224E-7</v>
      </c>
      <c r="W80">
        <f t="shared" si="10"/>
        <v>0</v>
      </c>
    </row>
    <row r="81" spans="1:23" x14ac:dyDescent="0.25">
      <c r="A81" t="s">
        <v>140</v>
      </c>
      <c r="B81">
        <v>1000000000</v>
      </c>
      <c r="C81">
        <v>1771.09</v>
      </c>
      <c r="D81">
        <v>0.21665999999999999</v>
      </c>
      <c r="E81">
        <v>9.8999999999999999E-4</v>
      </c>
      <c r="F81">
        <v>2156.5700000000002</v>
      </c>
      <c r="G81">
        <v>0</v>
      </c>
      <c r="H81">
        <f t="shared" si="7"/>
        <v>0.78434300000000001</v>
      </c>
      <c r="I81">
        <v>4.6415889999999997</v>
      </c>
      <c r="J81">
        <v>4.6420000000000003E-3</v>
      </c>
      <c r="K81">
        <f t="shared" si="11"/>
        <v>9999.9832617899992</v>
      </c>
      <c r="M81" t="s">
        <v>140</v>
      </c>
      <c r="N81">
        <v>1000000000</v>
      </c>
      <c r="O81">
        <v>1771.09</v>
      </c>
      <c r="P81">
        <v>4.6415899999999999</v>
      </c>
      <c r="Q81">
        <v>4.64E-3</v>
      </c>
      <c r="R81">
        <v>10000</v>
      </c>
      <c r="S81">
        <v>0</v>
      </c>
      <c r="T81">
        <f t="shared" si="8"/>
        <v>0</v>
      </c>
      <c r="U81" t="b">
        <f>T81&lt;=H81</f>
        <v>1</v>
      </c>
      <c r="V81">
        <f t="shared" si="9"/>
        <v>2.1544346131029224E-7</v>
      </c>
      <c r="W81">
        <f t="shared" si="10"/>
        <v>4.3084877208105675E-4</v>
      </c>
    </row>
    <row r="82" spans="1:23" x14ac:dyDescent="0.25">
      <c r="A82" t="s">
        <v>141</v>
      </c>
      <c r="B82">
        <v>1000000000</v>
      </c>
      <c r="C82">
        <v>1771.87</v>
      </c>
      <c r="D82">
        <v>0.21601000000000001</v>
      </c>
      <c r="E82">
        <v>4.6000000000000001E-4</v>
      </c>
      <c r="F82">
        <v>2155.42</v>
      </c>
      <c r="G82">
        <v>0</v>
      </c>
      <c r="H82">
        <f t="shared" si="7"/>
        <v>0.78445799999999999</v>
      </c>
      <c r="I82">
        <v>4.6415889999999997</v>
      </c>
      <c r="J82">
        <v>2.1540000000000001E-3</v>
      </c>
      <c r="K82">
        <f t="shared" si="11"/>
        <v>9999.9789094099997</v>
      </c>
      <c r="M82" t="s">
        <v>141</v>
      </c>
      <c r="N82">
        <v>999999999.99999988</v>
      </c>
      <c r="O82">
        <v>1771.87</v>
      </c>
      <c r="P82">
        <v>4.6415899999999999</v>
      </c>
      <c r="Q82">
        <v>2.15E-3</v>
      </c>
      <c r="R82">
        <v>10000</v>
      </c>
      <c r="S82">
        <v>0</v>
      </c>
      <c r="T82">
        <f t="shared" si="8"/>
        <v>0</v>
      </c>
      <c r="U82" t="b">
        <f>T82&lt;=H82</f>
        <v>1</v>
      </c>
      <c r="V82">
        <f t="shared" si="9"/>
        <v>2.1544346131029224E-7</v>
      </c>
      <c r="W82">
        <f t="shared" si="10"/>
        <v>1.8570102135562197E-3</v>
      </c>
    </row>
    <row r="83" spans="1:23" x14ac:dyDescent="0.25">
      <c r="A83" t="s">
        <v>142</v>
      </c>
      <c r="B83">
        <v>1000000000</v>
      </c>
      <c r="C83">
        <v>1772.24</v>
      </c>
      <c r="D83">
        <v>0.21571000000000001</v>
      </c>
      <c r="E83">
        <v>2.1000000000000001E-4</v>
      </c>
      <c r="F83">
        <v>2154.89</v>
      </c>
      <c r="G83">
        <v>0</v>
      </c>
      <c r="H83">
        <f t="shared" si="7"/>
        <v>0.78451100000000007</v>
      </c>
      <c r="I83">
        <v>4.6415889999999997</v>
      </c>
      <c r="J83">
        <v>1E-3</v>
      </c>
      <c r="K83">
        <f t="shared" si="11"/>
        <v>10000.02192936</v>
      </c>
      <c r="M83" t="s">
        <v>142</v>
      </c>
      <c r="N83">
        <v>1000000000</v>
      </c>
      <c r="O83">
        <v>1772.24</v>
      </c>
      <c r="P83">
        <v>4.6415899999999999</v>
      </c>
      <c r="Q83">
        <v>1E-3</v>
      </c>
      <c r="R83">
        <v>10000</v>
      </c>
      <c r="S83">
        <v>0</v>
      </c>
      <c r="T83">
        <f t="shared" si="8"/>
        <v>0</v>
      </c>
      <c r="U83" t="b">
        <f>T83&lt;=H83</f>
        <v>1</v>
      </c>
      <c r="V83">
        <f t="shared" si="9"/>
        <v>2.1544346131029224E-7</v>
      </c>
      <c r="W83">
        <f t="shared" si="10"/>
        <v>0</v>
      </c>
    </row>
    <row r="86" spans="1:23" x14ac:dyDescent="0.25">
      <c r="A86" t="s">
        <v>0</v>
      </c>
      <c r="B86" t="s">
        <v>1</v>
      </c>
      <c r="C86" t="s">
        <v>2</v>
      </c>
      <c r="D86" t="s">
        <v>3</v>
      </c>
      <c r="E86" t="s">
        <v>4</v>
      </c>
      <c r="F86" t="s">
        <v>5</v>
      </c>
      <c r="G86" t="s">
        <v>6</v>
      </c>
      <c r="M86" t="s">
        <v>0</v>
      </c>
      <c r="N86" t="s">
        <v>1</v>
      </c>
      <c r="O86" t="s">
        <v>2</v>
      </c>
      <c r="P86" t="s">
        <v>3</v>
      </c>
      <c r="Q86" t="s">
        <v>4</v>
      </c>
      <c r="R86" t="s">
        <v>5</v>
      </c>
      <c r="S86" t="s">
        <v>6</v>
      </c>
    </row>
    <row r="87" spans="1:23" x14ac:dyDescent="0.25">
      <c r="A87" t="s">
        <v>60</v>
      </c>
      <c r="B87">
        <v>1000000000</v>
      </c>
      <c r="C87">
        <v>1883.64</v>
      </c>
      <c r="D87">
        <v>2.1544300000000001</v>
      </c>
      <c r="E87">
        <v>2.1544300000000001</v>
      </c>
      <c r="F87">
        <v>10000</v>
      </c>
      <c r="G87">
        <v>0</v>
      </c>
      <c r="H87">
        <f t="shared" si="7"/>
        <v>0</v>
      </c>
      <c r="I87">
        <v>2.1544349999999999</v>
      </c>
      <c r="J87">
        <v>2.1544349999999999</v>
      </c>
      <c r="K87">
        <f t="shared" si="11"/>
        <v>9999.9998868000002</v>
      </c>
      <c r="M87" t="s">
        <v>60</v>
      </c>
      <c r="N87">
        <v>1000000000</v>
      </c>
      <c r="O87">
        <v>1883.64</v>
      </c>
      <c r="P87">
        <v>2.1544300000000001</v>
      </c>
      <c r="Q87">
        <v>2.1544300000000001</v>
      </c>
      <c r="R87">
        <v>10000</v>
      </c>
      <c r="S87">
        <v>0</v>
      </c>
      <c r="T87">
        <f t="shared" si="8"/>
        <v>0</v>
      </c>
      <c r="U87" t="b">
        <f>T87&lt;=H87</f>
        <v>1</v>
      </c>
      <c r="V87">
        <f t="shared" si="9"/>
        <v>2.3207940828155464E-6</v>
      </c>
      <c r="W87">
        <f t="shared" si="10"/>
        <v>2.3207940828155464E-6</v>
      </c>
    </row>
    <row r="88" spans="1:23" x14ac:dyDescent="0.25">
      <c r="A88" t="s">
        <v>57</v>
      </c>
      <c r="B88">
        <v>1000000000</v>
      </c>
      <c r="C88">
        <v>2407.0700000000002</v>
      </c>
      <c r="D88">
        <v>1.73245</v>
      </c>
      <c r="E88">
        <v>0.86621999999999999</v>
      </c>
      <c r="F88">
        <v>8662.25</v>
      </c>
      <c r="G88">
        <v>0</v>
      </c>
      <c r="H88">
        <f t="shared" si="7"/>
        <v>0.13377500000000001</v>
      </c>
      <c r="I88">
        <v>2.1544349999999999</v>
      </c>
      <c r="J88">
        <v>1</v>
      </c>
      <c r="K88">
        <f t="shared" si="11"/>
        <v>10000.015855449999</v>
      </c>
      <c r="M88" t="s">
        <v>57</v>
      </c>
      <c r="N88">
        <v>999999999.99999964</v>
      </c>
      <c r="O88">
        <v>2407.0700000000002</v>
      </c>
      <c r="P88">
        <v>2.1544300000000001</v>
      </c>
      <c r="Q88">
        <v>1</v>
      </c>
      <c r="R88">
        <v>10000</v>
      </c>
      <c r="S88">
        <v>0</v>
      </c>
      <c r="T88">
        <f t="shared" si="8"/>
        <v>0</v>
      </c>
      <c r="U88" t="b">
        <f>T88&lt;=H90</f>
        <v>1</v>
      </c>
      <c r="V88">
        <f t="shared" si="9"/>
        <v>2.3207940828155464E-6</v>
      </c>
      <c r="W88">
        <f t="shared" si="10"/>
        <v>0</v>
      </c>
    </row>
    <row r="89" spans="1:23" x14ac:dyDescent="0.25">
      <c r="A89" t="s">
        <v>56</v>
      </c>
      <c r="B89">
        <v>1000000000</v>
      </c>
      <c r="C89">
        <v>2763.5</v>
      </c>
      <c r="D89">
        <v>0.86621999999999999</v>
      </c>
      <c r="E89">
        <v>0.27461000000000002</v>
      </c>
      <c r="F89">
        <v>5916.19</v>
      </c>
      <c r="G89">
        <v>0</v>
      </c>
      <c r="H89">
        <f t="shared" si="7"/>
        <v>0.40838100000000005</v>
      </c>
      <c r="I89">
        <v>2.1544349999999999</v>
      </c>
      <c r="J89">
        <v>0.46415899999999999</v>
      </c>
      <c r="K89">
        <f t="shared" si="11"/>
        <v>9999.9845189999996</v>
      </c>
      <c r="M89" t="s">
        <v>56</v>
      </c>
      <c r="N89">
        <v>999999999.99999964</v>
      </c>
      <c r="O89">
        <v>2763.5</v>
      </c>
      <c r="P89">
        <v>2.1544300000000001</v>
      </c>
      <c r="Q89">
        <v>0.46416000000000002</v>
      </c>
      <c r="R89">
        <v>10000</v>
      </c>
      <c r="S89">
        <v>0</v>
      </c>
      <c r="T89">
        <f t="shared" si="8"/>
        <v>0</v>
      </c>
      <c r="U89" t="b">
        <f>T89&lt;=H91</f>
        <v>1</v>
      </c>
      <c r="V89">
        <f t="shared" si="9"/>
        <v>2.3207940828155464E-6</v>
      </c>
      <c r="W89">
        <f t="shared" si="10"/>
        <v>2.154434148704982E-6</v>
      </c>
    </row>
    <row r="90" spans="1:23" x14ac:dyDescent="0.25">
      <c r="A90" t="s">
        <v>55</v>
      </c>
      <c r="B90">
        <v>1000000000</v>
      </c>
      <c r="C90">
        <v>2967.47</v>
      </c>
      <c r="D90">
        <v>0.62683999999999995</v>
      </c>
      <c r="E90">
        <v>0.10972</v>
      </c>
      <c r="F90">
        <v>5153.18</v>
      </c>
      <c r="G90">
        <v>0</v>
      </c>
      <c r="H90">
        <f t="shared" si="7"/>
        <v>0.48468199999999995</v>
      </c>
      <c r="I90">
        <v>2.1544349999999999</v>
      </c>
      <c r="J90">
        <v>0.215443</v>
      </c>
      <c r="K90">
        <f t="shared" si="11"/>
        <v>10000.01186866</v>
      </c>
      <c r="M90" t="s">
        <v>55</v>
      </c>
      <c r="N90">
        <v>1000000000</v>
      </c>
      <c r="O90">
        <v>2967.47</v>
      </c>
      <c r="P90">
        <v>2.1544300000000001</v>
      </c>
      <c r="Q90">
        <v>0.21543999999999999</v>
      </c>
      <c r="R90">
        <v>10000</v>
      </c>
      <c r="S90">
        <v>0</v>
      </c>
      <c r="T90">
        <f t="shared" si="8"/>
        <v>0</v>
      </c>
      <c r="U90" t="b">
        <f>T90&lt;=H92</f>
        <v>1</v>
      </c>
      <c r="V90">
        <f t="shared" si="9"/>
        <v>2.3207940828155464E-6</v>
      </c>
      <c r="W90">
        <f t="shared" si="10"/>
        <v>1.3924796814020416E-5</v>
      </c>
    </row>
    <row r="91" spans="1:23" x14ac:dyDescent="0.25">
      <c r="A91" t="s">
        <v>54</v>
      </c>
      <c r="B91">
        <v>1000000000</v>
      </c>
      <c r="C91">
        <v>3072.73</v>
      </c>
      <c r="D91">
        <v>0.53542999999999996</v>
      </c>
      <c r="E91">
        <v>4.8030000000000003E-2</v>
      </c>
      <c r="F91">
        <v>4865.55</v>
      </c>
      <c r="G91">
        <v>0</v>
      </c>
      <c r="H91">
        <f t="shared" si="7"/>
        <v>0.51344499999999993</v>
      </c>
      <c r="I91">
        <v>2.1544349999999999</v>
      </c>
      <c r="J91">
        <v>0.1</v>
      </c>
      <c r="K91">
        <f t="shared" si="11"/>
        <v>10000.00005755</v>
      </c>
      <c r="M91" t="s">
        <v>54</v>
      </c>
      <c r="N91">
        <v>1000000000</v>
      </c>
      <c r="O91">
        <v>3072.73</v>
      </c>
      <c r="P91">
        <v>2.1544300000000001</v>
      </c>
      <c r="Q91">
        <v>0.1</v>
      </c>
      <c r="R91">
        <v>10000</v>
      </c>
      <c r="S91">
        <v>0</v>
      </c>
      <c r="T91">
        <f t="shared" si="8"/>
        <v>0</v>
      </c>
      <c r="U91" t="b">
        <f>T91&lt;=H93</f>
        <v>1</v>
      </c>
      <c r="V91">
        <f t="shared" si="9"/>
        <v>2.3207940828155464E-6</v>
      </c>
      <c r="W91">
        <f t="shared" si="10"/>
        <v>0</v>
      </c>
    </row>
    <row r="92" spans="1:23" x14ac:dyDescent="0.25">
      <c r="A92" t="s">
        <v>53</v>
      </c>
      <c r="B92">
        <v>1000000000</v>
      </c>
      <c r="C92">
        <v>3124.17</v>
      </c>
      <c r="D92">
        <v>0.49640000000000001</v>
      </c>
      <c r="E92">
        <v>2.172E-2</v>
      </c>
      <c r="F92">
        <v>4742.8599999999997</v>
      </c>
      <c r="G92">
        <v>0</v>
      </c>
      <c r="H92">
        <f t="shared" si="7"/>
        <v>0.52571400000000001</v>
      </c>
      <c r="I92">
        <v>2.1544349999999999</v>
      </c>
      <c r="J92">
        <v>4.6415999999999999E-2</v>
      </c>
      <c r="K92">
        <f t="shared" si="11"/>
        <v>10000.002668669998</v>
      </c>
      <c r="M92" t="s">
        <v>53</v>
      </c>
      <c r="N92">
        <v>1000000000</v>
      </c>
      <c r="O92">
        <v>3124.17</v>
      </c>
      <c r="P92">
        <v>2.1544300000000001</v>
      </c>
      <c r="Q92">
        <v>4.6420000000000003E-2</v>
      </c>
      <c r="R92">
        <v>10000</v>
      </c>
      <c r="S92">
        <v>0</v>
      </c>
      <c r="T92">
        <f t="shared" si="8"/>
        <v>0</v>
      </c>
      <c r="U92" t="b">
        <f>T92&lt;=H94</f>
        <v>1</v>
      </c>
      <c r="V92">
        <f t="shared" si="9"/>
        <v>2.3207940828155464E-6</v>
      </c>
      <c r="W92">
        <f t="shared" si="10"/>
        <v>8.6177180282747334E-5</v>
      </c>
    </row>
    <row r="93" spans="1:23" x14ac:dyDescent="0.25">
      <c r="A93" t="s">
        <v>52</v>
      </c>
      <c r="B93">
        <v>1000000000</v>
      </c>
      <c r="C93">
        <v>3148.64</v>
      </c>
      <c r="D93">
        <v>0.47894999999999999</v>
      </c>
      <c r="E93">
        <v>9.9600000000000001E-3</v>
      </c>
      <c r="F93">
        <v>4688.04</v>
      </c>
      <c r="G93">
        <v>0</v>
      </c>
      <c r="H93">
        <f t="shared" si="7"/>
        <v>0.531196</v>
      </c>
      <c r="I93">
        <v>2.1544349999999999</v>
      </c>
      <c r="J93">
        <v>2.1544000000000001E-2</v>
      </c>
      <c r="K93">
        <f t="shared" si="11"/>
        <v>10000.014518559999</v>
      </c>
      <c r="M93" t="s">
        <v>52</v>
      </c>
      <c r="N93">
        <v>1000000000</v>
      </c>
      <c r="O93">
        <v>3148.64</v>
      </c>
      <c r="P93">
        <v>2.1544300000000001</v>
      </c>
      <c r="Q93">
        <v>2.154E-2</v>
      </c>
      <c r="R93">
        <v>10000</v>
      </c>
      <c r="S93">
        <v>0</v>
      </c>
      <c r="T93">
        <f t="shared" si="8"/>
        <v>0</v>
      </c>
      <c r="U93" t="b">
        <f>T93&lt;=H95</f>
        <v>1</v>
      </c>
      <c r="V93">
        <f t="shared" si="9"/>
        <v>2.3207940828155464E-6</v>
      </c>
      <c r="W93">
        <f t="shared" si="10"/>
        <v>1.8566654288899604E-4</v>
      </c>
    </row>
    <row r="94" spans="1:23" x14ac:dyDescent="0.25">
      <c r="A94" t="s">
        <v>51</v>
      </c>
      <c r="B94">
        <v>1000000000</v>
      </c>
      <c r="C94">
        <v>3160.12</v>
      </c>
      <c r="D94">
        <v>0.47099000000000002</v>
      </c>
      <c r="E94">
        <v>4.5999999999999999E-3</v>
      </c>
      <c r="F94">
        <v>4663.03</v>
      </c>
      <c r="G94">
        <v>0</v>
      </c>
      <c r="H94">
        <f t="shared" si="7"/>
        <v>0.53369699999999998</v>
      </c>
      <c r="I94">
        <v>2.1544349999999999</v>
      </c>
      <c r="J94">
        <v>0.01</v>
      </c>
      <c r="K94">
        <f t="shared" si="11"/>
        <v>9999.9943321999981</v>
      </c>
      <c r="M94" t="s">
        <v>51</v>
      </c>
      <c r="N94">
        <v>1000000000</v>
      </c>
      <c r="O94">
        <v>3160.12</v>
      </c>
      <c r="P94">
        <v>2.1544300000000001</v>
      </c>
      <c r="Q94">
        <v>0.01</v>
      </c>
      <c r="R94">
        <v>10000</v>
      </c>
      <c r="S94">
        <v>0</v>
      </c>
      <c r="T94">
        <f t="shared" si="8"/>
        <v>0</v>
      </c>
      <c r="U94" t="b">
        <f>T94&lt;=H96</f>
        <v>1</v>
      </c>
      <c r="V94">
        <f t="shared" si="9"/>
        <v>2.3207940828155464E-6</v>
      </c>
      <c r="W94">
        <f t="shared" si="10"/>
        <v>0</v>
      </c>
    </row>
    <row r="95" spans="1:23" x14ac:dyDescent="0.25">
      <c r="A95" t="s">
        <v>50</v>
      </c>
      <c r="B95">
        <v>1000000000</v>
      </c>
      <c r="C95">
        <v>3165.48</v>
      </c>
      <c r="D95">
        <v>0.46732000000000001</v>
      </c>
      <c r="E95">
        <v>2.1299999999999999E-3</v>
      </c>
      <c r="F95">
        <v>4651.5200000000004</v>
      </c>
      <c r="G95">
        <v>0</v>
      </c>
      <c r="H95">
        <f t="shared" si="7"/>
        <v>0.53484799999999999</v>
      </c>
      <c r="I95">
        <v>2.1544349999999999</v>
      </c>
      <c r="J95">
        <v>4.6420000000000003E-3</v>
      </c>
      <c r="K95">
        <f t="shared" si="11"/>
        <v>9999.9950619600004</v>
      </c>
      <c r="M95" t="s">
        <v>50</v>
      </c>
      <c r="N95">
        <v>1000000000</v>
      </c>
      <c r="O95">
        <v>3165.48</v>
      </c>
      <c r="P95">
        <v>2.1544300000000001</v>
      </c>
      <c r="Q95">
        <v>4.64E-3</v>
      </c>
      <c r="R95">
        <v>10000</v>
      </c>
      <c r="S95">
        <v>0</v>
      </c>
      <c r="T95">
        <f t="shared" si="8"/>
        <v>0</v>
      </c>
      <c r="U95" t="b">
        <f>T95&lt;=H97</f>
        <v>1</v>
      </c>
      <c r="V95">
        <f t="shared" si="9"/>
        <v>2.3207940828155464E-6</v>
      </c>
      <c r="W95">
        <f t="shared" si="10"/>
        <v>4.3084877208105675E-4</v>
      </c>
    </row>
    <row r="96" spans="1:23" x14ac:dyDescent="0.25">
      <c r="A96" t="s">
        <v>59</v>
      </c>
      <c r="B96">
        <v>1000000000</v>
      </c>
      <c r="C96">
        <v>3167.98</v>
      </c>
      <c r="D96">
        <v>0.46561999999999998</v>
      </c>
      <c r="E96">
        <v>9.8999999999999999E-4</v>
      </c>
      <c r="F96">
        <v>4646.1899999999996</v>
      </c>
      <c r="G96">
        <v>0</v>
      </c>
      <c r="H96">
        <f t="shared" si="7"/>
        <v>0.535381</v>
      </c>
      <c r="I96">
        <v>2.1544349999999999</v>
      </c>
      <c r="J96">
        <v>2.1540000000000001E-3</v>
      </c>
      <c r="K96">
        <f t="shared" si="11"/>
        <v>10000.010820219999</v>
      </c>
      <c r="M96" t="s">
        <v>59</v>
      </c>
      <c r="N96">
        <v>1000000000</v>
      </c>
      <c r="O96">
        <v>3167.98</v>
      </c>
      <c r="P96">
        <v>2.1544300000000001</v>
      </c>
      <c r="Q96">
        <v>2.15E-3</v>
      </c>
      <c r="R96">
        <v>10000</v>
      </c>
      <c r="S96">
        <v>0</v>
      </c>
      <c r="T96">
        <f t="shared" si="8"/>
        <v>0</v>
      </c>
      <c r="U96" t="b">
        <f>T96&lt;=H88</f>
        <v>1</v>
      </c>
      <c r="V96">
        <f t="shared" si="9"/>
        <v>2.3207940828155464E-6</v>
      </c>
      <c r="W96">
        <f t="shared" si="10"/>
        <v>1.8570102135562197E-3</v>
      </c>
    </row>
    <row r="97" spans="1:23" x14ac:dyDescent="0.25">
      <c r="A97" t="s">
        <v>58</v>
      </c>
      <c r="B97">
        <v>1000000000</v>
      </c>
      <c r="C97">
        <v>3169.14</v>
      </c>
      <c r="D97">
        <v>0.46483999999999998</v>
      </c>
      <c r="E97">
        <v>4.6000000000000001E-4</v>
      </c>
      <c r="F97">
        <v>4643.72</v>
      </c>
      <c r="G97">
        <v>0</v>
      </c>
      <c r="H97">
        <f t="shared" si="7"/>
        <v>0.53562799999999999</v>
      </c>
      <c r="I97">
        <v>2.1544349999999999</v>
      </c>
      <c r="J97">
        <v>1E-3</v>
      </c>
      <c r="K97">
        <f t="shared" si="11"/>
        <v>10000.015275899999</v>
      </c>
      <c r="M97" t="s">
        <v>58</v>
      </c>
      <c r="N97">
        <v>1000000000</v>
      </c>
      <c r="O97">
        <v>3169.14</v>
      </c>
      <c r="P97">
        <v>2.1544300000000001</v>
      </c>
      <c r="Q97">
        <v>1E-3</v>
      </c>
      <c r="R97">
        <v>10000</v>
      </c>
      <c r="S97">
        <v>0</v>
      </c>
      <c r="T97">
        <f t="shared" si="8"/>
        <v>0</v>
      </c>
      <c r="U97" t="b">
        <f>T97&lt;=H89</f>
        <v>1</v>
      </c>
      <c r="V97">
        <f t="shared" si="9"/>
        <v>2.3207940828155464E-6</v>
      </c>
      <c r="W97">
        <f t="shared" si="10"/>
        <v>0</v>
      </c>
    </row>
    <row r="99" spans="1:23" x14ac:dyDescent="0.25">
      <c r="U99" s="2"/>
    </row>
    <row r="100" spans="1:23" x14ac:dyDescent="0.25">
      <c r="A100" t="s">
        <v>0</v>
      </c>
      <c r="B100" t="s">
        <v>1</v>
      </c>
      <c r="C100" t="s">
        <v>2</v>
      </c>
      <c r="D100" t="s">
        <v>3</v>
      </c>
      <c r="E100" t="s">
        <v>4</v>
      </c>
      <c r="F100" t="s">
        <v>5</v>
      </c>
      <c r="G100" t="s">
        <v>6</v>
      </c>
      <c r="M100" t="s">
        <v>0</v>
      </c>
      <c r="N100" t="s">
        <v>1</v>
      </c>
      <c r="O100" t="s">
        <v>2</v>
      </c>
      <c r="P100" t="s">
        <v>3</v>
      </c>
      <c r="Q100" t="s">
        <v>4</v>
      </c>
      <c r="R100" t="s">
        <v>5</v>
      </c>
      <c r="S100" t="s">
        <v>6</v>
      </c>
      <c r="U100" s="2"/>
    </row>
    <row r="101" spans="1:23" x14ac:dyDescent="0.25">
      <c r="A101" t="s">
        <v>49</v>
      </c>
      <c r="B101">
        <v>1000000000</v>
      </c>
      <c r="C101">
        <v>3333.33</v>
      </c>
      <c r="D101">
        <v>1</v>
      </c>
      <c r="E101">
        <v>1</v>
      </c>
      <c r="F101">
        <v>10000</v>
      </c>
      <c r="G101">
        <v>0</v>
      </c>
      <c r="H101">
        <f t="shared" si="7"/>
        <v>0</v>
      </c>
      <c r="I101">
        <v>1</v>
      </c>
      <c r="J101">
        <v>1</v>
      </c>
      <c r="K101">
        <f t="shared" si="11"/>
        <v>9999.99</v>
      </c>
      <c r="M101" t="s">
        <v>49</v>
      </c>
      <c r="N101">
        <v>1000000000</v>
      </c>
      <c r="O101">
        <v>3333.33</v>
      </c>
      <c r="P101">
        <v>1</v>
      </c>
      <c r="Q101">
        <v>1</v>
      </c>
      <c r="R101">
        <v>10000</v>
      </c>
      <c r="S101">
        <v>0</v>
      </c>
      <c r="T101">
        <f t="shared" si="8"/>
        <v>0</v>
      </c>
      <c r="U101" s="2" t="b">
        <f>T101&lt;=H101</f>
        <v>1</v>
      </c>
      <c r="V101">
        <f t="shared" si="9"/>
        <v>0</v>
      </c>
      <c r="W101">
        <f t="shared" si="10"/>
        <v>0</v>
      </c>
    </row>
    <row r="102" spans="1:23" x14ac:dyDescent="0.25">
      <c r="A102" t="s">
        <v>47</v>
      </c>
      <c r="B102">
        <v>1000000000</v>
      </c>
      <c r="C102">
        <v>4058.18</v>
      </c>
      <c r="D102">
        <v>1</v>
      </c>
      <c r="E102">
        <v>0.46416000000000002</v>
      </c>
      <c r="F102">
        <v>10000</v>
      </c>
      <c r="G102">
        <v>0</v>
      </c>
      <c r="H102">
        <f t="shared" si="7"/>
        <v>0</v>
      </c>
      <c r="I102">
        <v>1</v>
      </c>
      <c r="J102">
        <v>0.46415899999999999</v>
      </c>
      <c r="K102">
        <f t="shared" si="11"/>
        <v>10000.000770619999</v>
      </c>
      <c r="M102" t="s">
        <v>47</v>
      </c>
      <c r="N102">
        <v>1000000000</v>
      </c>
      <c r="O102">
        <v>4058.18</v>
      </c>
      <c r="P102">
        <v>1</v>
      </c>
      <c r="Q102">
        <v>0.46416000000000002</v>
      </c>
      <c r="R102">
        <v>10000</v>
      </c>
      <c r="S102">
        <v>0</v>
      </c>
      <c r="T102">
        <f t="shared" si="8"/>
        <v>0</v>
      </c>
      <c r="U102" s="2" t="b">
        <f>T102&lt;=H103</f>
        <v>1</v>
      </c>
      <c r="V102">
        <f t="shared" si="9"/>
        <v>0</v>
      </c>
      <c r="W102">
        <f t="shared" si="10"/>
        <v>2.154434148704982E-6</v>
      </c>
    </row>
    <row r="103" spans="1:23" x14ac:dyDescent="0.25">
      <c r="A103" t="s">
        <v>46</v>
      </c>
      <c r="B103">
        <v>1000000000</v>
      </c>
      <c r="C103">
        <v>4513.7700000000004</v>
      </c>
      <c r="D103">
        <v>1</v>
      </c>
      <c r="E103">
        <v>0.21295</v>
      </c>
      <c r="F103">
        <v>9988.76</v>
      </c>
      <c r="G103">
        <v>0</v>
      </c>
      <c r="H103">
        <f t="shared" si="7"/>
        <v>1.1239999999999781E-3</v>
      </c>
      <c r="I103">
        <v>1</v>
      </c>
      <c r="J103">
        <v>0.215443</v>
      </c>
      <c r="K103">
        <f t="shared" si="11"/>
        <v>10000.000150110001</v>
      </c>
      <c r="M103" t="s">
        <v>46</v>
      </c>
      <c r="N103">
        <v>1000000000.0000001</v>
      </c>
      <c r="O103">
        <v>4513.7700000000004</v>
      </c>
      <c r="P103">
        <v>1</v>
      </c>
      <c r="Q103">
        <v>0.21543999999999999</v>
      </c>
      <c r="R103">
        <v>10000</v>
      </c>
      <c r="S103">
        <v>0</v>
      </c>
      <c r="T103">
        <f t="shared" si="8"/>
        <v>0</v>
      </c>
      <c r="U103" s="2" t="b">
        <f>T103&lt;=H104</f>
        <v>1</v>
      </c>
      <c r="V103">
        <f t="shared" si="9"/>
        <v>0</v>
      </c>
      <c r="W103">
        <f t="shared" si="10"/>
        <v>1.3924796814020416E-5</v>
      </c>
    </row>
    <row r="104" spans="1:23" x14ac:dyDescent="0.25">
      <c r="A104" t="s">
        <v>45</v>
      </c>
      <c r="B104">
        <v>1000000000</v>
      </c>
      <c r="C104">
        <v>4761.8999999999996</v>
      </c>
      <c r="D104">
        <v>1</v>
      </c>
      <c r="E104">
        <v>9.8799999999999999E-2</v>
      </c>
      <c r="F104">
        <v>9994.2900000000009</v>
      </c>
      <c r="G104">
        <v>0</v>
      </c>
      <c r="H104">
        <f t="shared" si="7"/>
        <v>5.7099999999991272E-4</v>
      </c>
      <c r="I104">
        <v>1</v>
      </c>
      <c r="J104">
        <v>0.1</v>
      </c>
      <c r="K104">
        <f t="shared" ref="K104" si="12">C104 *(1+I104+J104)</f>
        <v>9999.99</v>
      </c>
      <c r="M104" t="s">
        <v>45</v>
      </c>
      <c r="N104">
        <v>1000000000</v>
      </c>
      <c r="O104">
        <v>4761.8999999999996</v>
      </c>
      <c r="P104">
        <v>1</v>
      </c>
      <c r="Q104">
        <v>0.1</v>
      </c>
      <c r="R104">
        <v>10000</v>
      </c>
      <c r="S104">
        <v>0</v>
      </c>
      <c r="T104">
        <f t="shared" si="8"/>
        <v>0</v>
      </c>
      <c r="U104" s="2" t="b">
        <f>T104&lt;=H105</f>
        <v>1</v>
      </c>
      <c r="V104">
        <f t="shared" si="9"/>
        <v>0</v>
      </c>
      <c r="W104">
        <f t="shared" si="10"/>
        <v>0</v>
      </c>
    </row>
    <row r="105" spans="1:23" x14ac:dyDescent="0.25">
      <c r="A105" t="s">
        <v>44</v>
      </c>
      <c r="B105">
        <v>1000000000</v>
      </c>
      <c r="C105">
        <v>4886.59</v>
      </c>
      <c r="D105">
        <v>1</v>
      </c>
      <c r="E105">
        <v>4.5850000000000002E-2</v>
      </c>
      <c r="F105">
        <v>9997.24</v>
      </c>
      <c r="G105">
        <v>0</v>
      </c>
      <c r="H105">
        <f t="shared" si="7"/>
        <v>2.7600000000002183E-4</v>
      </c>
      <c r="I105">
        <v>1</v>
      </c>
      <c r="J105">
        <v>4.6415999999999999E-2</v>
      </c>
      <c r="K105">
        <f t="shared" si="6"/>
        <v>9999.9959614399995</v>
      </c>
      <c r="M105" t="s">
        <v>44</v>
      </c>
      <c r="N105">
        <v>1000000000</v>
      </c>
      <c r="O105">
        <v>4886.59</v>
      </c>
      <c r="P105">
        <v>1</v>
      </c>
      <c r="Q105">
        <v>4.6420000000000003E-2</v>
      </c>
      <c r="R105">
        <v>10000</v>
      </c>
      <c r="S105">
        <v>0</v>
      </c>
      <c r="T105">
        <f t="shared" si="8"/>
        <v>0</v>
      </c>
      <c r="U105" s="2" t="b">
        <f>T105&lt;=H106</f>
        <v>1</v>
      </c>
      <c r="V105">
        <f t="shared" si="9"/>
        <v>0</v>
      </c>
      <c r="W105">
        <f t="shared" si="10"/>
        <v>8.6177180282747334E-5</v>
      </c>
    </row>
    <row r="106" spans="1:23" x14ac:dyDescent="0.25">
      <c r="A106" t="s">
        <v>43</v>
      </c>
      <c r="B106">
        <v>1000000000</v>
      </c>
      <c r="C106">
        <v>4946.71</v>
      </c>
      <c r="D106">
        <v>1</v>
      </c>
      <c r="E106">
        <v>2.128E-2</v>
      </c>
      <c r="F106">
        <v>9998.69</v>
      </c>
      <c r="G106">
        <v>0</v>
      </c>
      <c r="H106">
        <f t="shared" si="7"/>
        <v>1.3099999999994906E-4</v>
      </c>
      <c r="I106">
        <v>1</v>
      </c>
      <c r="J106">
        <v>2.1544000000000001E-2</v>
      </c>
      <c r="K106">
        <f t="shared" si="6"/>
        <v>9999.9919202399997</v>
      </c>
      <c r="M106" t="s">
        <v>43</v>
      </c>
      <c r="N106">
        <v>1000000000</v>
      </c>
      <c r="O106">
        <v>4946.71</v>
      </c>
      <c r="P106">
        <v>1</v>
      </c>
      <c r="Q106">
        <v>2.154E-2</v>
      </c>
      <c r="R106">
        <v>10000</v>
      </c>
      <c r="S106">
        <v>0</v>
      </c>
      <c r="T106">
        <f t="shared" si="8"/>
        <v>0</v>
      </c>
      <c r="U106" s="2" t="b">
        <f>T106&lt;=H107</f>
        <v>1</v>
      </c>
      <c r="V106">
        <f t="shared" si="9"/>
        <v>0</v>
      </c>
      <c r="W106">
        <f t="shared" si="10"/>
        <v>1.8566654288899604E-4</v>
      </c>
    </row>
    <row r="107" spans="1:23" x14ac:dyDescent="0.25">
      <c r="A107" t="s">
        <v>42</v>
      </c>
      <c r="B107">
        <v>1000000000</v>
      </c>
      <c r="C107">
        <v>4975.12</v>
      </c>
      <c r="D107">
        <v>1</v>
      </c>
      <c r="E107">
        <v>9.8799999999999999E-3</v>
      </c>
      <c r="F107">
        <v>9999.39</v>
      </c>
      <c r="G107">
        <v>0</v>
      </c>
      <c r="H107">
        <f t="shared" si="7"/>
        <v>6.1000000000058207E-5</v>
      </c>
      <c r="I107">
        <v>1</v>
      </c>
      <c r="J107">
        <v>0.01</v>
      </c>
      <c r="K107">
        <f t="shared" si="6"/>
        <v>9999.9911999999986</v>
      </c>
      <c r="M107" t="s">
        <v>42</v>
      </c>
      <c r="N107">
        <v>1000000000</v>
      </c>
      <c r="O107">
        <v>4975.12</v>
      </c>
      <c r="P107">
        <v>1</v>
      </c>
      <c r="Q107">
        <v>0.01</v>
      </c>
      <c r="R107">
        <v>10000</v>
      </c>
      <c r="S107">
        <v>0</v>
      </c>
      <c r="T107">
        <f t="shared" si="8"/>
        <v>0</v>
      </c>
      <c r="U107" s="2" t="b">
        <f>T107&lt;=H108</f>
        <v>1</v>
      </c>
      <c r="V107">
        <f t="shared" si="9"/>
        <v>0</v>
      </c>
      <c r="W107">
        <f t="shared" si="10"/>
        <v>0</v>
      </c>
    </row>
    <row r="108" spans="1:23" x14ac:dyDescent="0.25">
      <c r="A108" t="s">
        <v>41</v>
      </c>
      <c r="B108">
        <v>1000000000</v>
      </c>
      <c r="C108">
        <v>4988.42</v>
      </c>
      <c r="D108">
        <v>1</v>
      </c>
      <c r="E108">
        <v>4.5799999999999999E-3</v>
      </c>
      <c r="F108">
        <v>9999.7199999999993</v>
      </c>
      <c r="G108">
        <v>0</v>
      </c>
      <c r="H108">
        <f t="shared" si="7"/>
        <v>2.8000000000065482E-5</v>
      </c>
      <c r="I108">
        <v>1</v>
      </c>
      <c r="J108">
        <v>4.6420000000000003E-3</v>
      </c>
      <c r="K108">
        <f t="shared" si="6"/>
        <v>9999.9962456400008</v>
      </c>
      <c r="M108" t="s">
        <v>41</v>
      </c>
      <c r="N108">
        <v>1000000000</v>
      </c>
      <c r="O108">
        <v>4988.42</v>
      </c>
      <c r="P108">
        <v>1</v>
      </c>
      <c r="Q108">
        <v>4.64E-3</v>
      </c>
      <c r="R108">
        <v>10000</v>
      </c>
      <c r="S108">
        <v>0</v>
      </c>
      <c r="T108">
        <f t="shared" si="8"/>
        <v>0</v>
      </c>
      <c r="U108" s="2" t="b">
        <f>T108&lt;=H109</f>
        <v>1</v>
      </c>
      <c r="V108">
        <f t="shared" si="9"/>
        <v>0</v>
      </c>
      <c r="W108">
        <f t="shared" si="10"/>
        <v>4.3084877208105675E-4</v>
      </c>
    </row>
    <row r="109" spans="1:23" x14ac:dyDescent="0.25">
      <c r="A109" t="s">
        <v>40</v>
      </c>
      <c r="B109">
        <v>1000000000</v>
      </c>
      <c r="C109">
        <v>4994.62</v>
      </c>
      <c r="D109">
        <v>1</v>
      </c>
      <c r="E109">
        <v>2.1299999999999999E-3</v>
      </c>
      <c r="F109">
        <v>9999.8700000000008</v>
      </c>
      <c r="G109">
        <v>0</v>
      </c>
      <c r="H109">
        <f t="shared" si="7"/>
        <v>1.2999999999919965E-5</v>
      </c>
      <c r="I109">
        <v>1</v>
      </c>
      <c r="J109">
        <v>2.1540000000000001E-3</v>
      </c>
      <c r="K109">
        <f t="shared" si="6"/>
        <v>9999.998411479999</v>
      </c>
      <c r="M109" t="s">
        <v>40</v>
      </c>
      <c r="N109">
        <v>1000000000</v>
      </c>
      <c r="O109">
        <v>4994.62</v>
      </c>
      <c r="P109">
        <v>1</v>
      </c>
      <c r="Q109">
        <v>2.15E-3</v>
      </c>
      <c r="R109">
        <v>10000</v>
      </c>
      <c r="S109">
        <v>0</v>
      </c>
      <c r="T109">
        <f t="shared" si="8"/>
        <v>0</v>
      </c>
      <c r="U109" s="2" t="b">
        <f>T109&lt;=H110</f>
        <v>1</v>
      </c>
      <c r="V109">
        <f t="shared" si="9"/>
        <v>0</v>
      </c>
      <c r="W109">
        <f t="shared" si="10"/>
        <v>1.8570102135562197E-3</v>
      </c>
    </row>
    <row r="110" spans="1:23" x14ac:dyDescent="0.25">
      <c r="A110" t="s">
        <v>48</v>
      </c>
      <c r="B110">
        <v>1000000000</v>
      </c>
      <c r="C110">
        <v>4997.5</v>
      </c>
      <c r="D110">
        <v>1</v>
      </c>
      <c r="E110">
        <v>9.8999999999999999E-4</v>
      </c>
      <c r="F110">
        <v>9999.94</v>
      </c>
      <c r="G110">
        <v>0</v>
      </c>
      <c r="H110">
        <f t="shared" si="7"/>
        <v>5.9999999999490681E-6</v>
      </c>
      <c r="I110">
        <v>1</v>
      </c>
      <c r="J110">
        <v>1E-3</v>
      </c>
      <c r="K110">
        <f t="shared" si="6"/>
        <v>9999.9974999999995</v>
      </c>
      <c r="M110" t="s">
        <v>48</v>
      </c>
      <c r="N110">
        <v>1000000000</v>
      </c>
      <c r="O110">
        <v>4997.5</v>
      </c>
      <c r="P110">
        <v>1</v>
      </c>
      <c r="Q110">
        <v>1E-3</v>
      </c>
      <c r="R110">
        <v>10000</v>
      </c>
      <c r="S110">
        <v>0</v>
      </c>
      <c r="T110">
        <f t="shared" si="8"/>
        <v>0</v>
      </c>
      <c r="U110" s="2" t="b">
        <f>T110&lt;=H102</f>
        <v>1</v>
      </c>
      <c r="V110">
        <f t="shared" si="9"/>
        <v>0</v>
      </c>
      <c r="W110">
        <f t="shared" si="10"/>
        <v>0</v>
      </c>
    </row>
    <row r="111" spans="1:23" x14ac:dyDescent="0.25">
      <c r="U111" s="2"/>
    </row>
    <row r="112" spans="1:23" x14ac:dyDescent="0.25">
      <c r="U112" s="2"/>
    </row>
    <row r="113" spans="1:23" x14ac:dyDescent="0.25">
      <c r="A113" t="s">
        <v>0</v>
      </c>
      <c r="B113" t="s">
        <v>1</v>
      </c>
      <c r="C113" t="s">
        <v>2</v>
      </c>
      <c r="D113" t="s">
        <v>3</v>
      </c>
      <c r="E113" t="s">
        <v>4</v>
      </c>
      <c r="F113" t="s">
        <v>5</v>
      </c>
      <c r="G113" t="s">
        <v>6</v>
      </c>
      <c r="M113" t="s">
        <v>0</v>
      </c>
      <c r="N113" t="s">
        <v>1</v>
      </c>
      <c r="O113" t="s">
        <v>2</v>
      </c>
      <c r="P113" t="s">
        <v>3</v>
      </c>
      <c r="Q113" t="s">
        <v>4</v>
      </c>
      <c r="R113" t="s">
        <v>5</v>
      </c>
      <c r="S113" t="s">
        <v>6</v>
      </c>
    </row>
    <row r="114" spans="1:23" x14ac:dyDescent="0.25">
      <c r="A114" t="s">
        <v>39</v>
      </c>
      <c r="B114">
        <v>1000000000</v>
      </c>
      <c r="C114">
        <v>5185.87</v>
      </c>
      <c r="D114">
        <v>0.46416000000000002</v>
      </c>
      <c r="E114">
        <v>0.46416000000000002</v>
      </c>
      <c r="F114">
        <v>10000</v>
      </c>
      <c r="G114">
        <v>0</v>
      </c>
      <c r="H114">
        <f t="shared" si="7"/>
        <v>0</v>
      </c>
      <c r="I114">
        <v>0.46415899999999999</v>
      </c>
      <c r="J114">
        <v>0.46415899999999999</v>
      </c>
      <c r="K114">
        <f t="shared" si="6"/>
        <v>10000.006466659999</v>
      </c>
      <c r="M114" t="s">
        <v>39</v>
      </c>
      <c r="N114">
        <v>1000000000.0000001</v>
      </c>
      <c r="O114">
        <v>5185.87</v>
      </c>
      <c r="P114">
        <v>0.46416000000000002</v>
      </c>
      <c r="Q114">
        <v>0.46416000000000002</v>
      </c>
      <c r="R114">
        <v>10000</v>
      </c>
      <c r="S114">
        <v>0</v>
      </c>
      <c r="T114">
        <f t="shared" si="8"/>
        <v>0</v>
      </c>
      <c r="U114" t="b">
        <f>T114&lt;=H114</f>
        <v>1</v>
      </c>
      <c r="V114">
        <f t="shared" si="9"/>
        <v>2.154434148704982E-6</v>
      </c>
      <c r="W114">
        <f t="shared" si="10"/>
        <v>2.154434148704982E-6</v>
      </c>
    </row>
    <row r="115" spans="1:23" x14ac:dyDescent="0.25">
      <c r="A115" t="s">
        <v>38</v>
      </c>
      <c r="B115">
        <v>1000000000</v>
      </c>
      <c r="C115">
        <v>5953.79</v>
      </c>
      <c r="D115">
        <v>0.46416000000000002</v>
      </c>
      <c r="E115">
        <v>0.21543999999999999</v>
      </c>
      <c r="F115">
        <v>10000</v>
      </c>
      <c r="G115">
        <v>0</v>
      </c>
      <c r="H115">
        <f t="shared" si="7"/>
        <v>0</v>
      </c>
      <c r="I115">
        <v>0.46415899999999999</v>
      </c>
      <c r="J115">
        <v>0.215443</v>
      </c>
      <c r="K115">
        <f t="shared" si="6"/>
        <v>9999.9975915800005</v>
      </c>
      <c r="M115" t="s">
        <v>38</v>
      </c>
      <c r="N115">
        <v>1000000000.0000001</v>
      </c>
      <c r="O115">
        <v>5953.79</v>
      </c>
      <c r="P115">
        <v>0.46416000000000002</v>
      </c>
      <c r="Q115">
        <v>0.21543999999999999</v>
      </c>
      <c r="R115">
        <v>10000</v>
      </c>
      <c r="S115">
        <v>0</v>
      </c>
      <c r="T115">
        <f t="shared" si="8"/>
        <v>0</v>
      </c>
      <c r="U115" t="b">
        <f>T115&lt;=H115</f>
        <v>1</v>
      </c>
      <c r="V115">
        <f t="shared" si="9"/>
        <v>2.154434148704982E-6</v>
      </c>
      <c r="W115">
        <f t="shared" si="10"/>
        <v>1.3924796814020416E-5</v>
      </c>
    </row>
    <row r="116" spans="1:23" x14ac:dyDescent="0.25">
      <c r="A116" t="s">
        <v>37</v>
      </c>
      <c r="B116">
        <v>1000000000</v>
      </c>
      <c r="C116">
        <v>6393.21</v>
      </c>
      <c r="D116">
        <v>0.46416000000000002</v>
      </c>
      <c r="E116">
        <v>9.8729999999999998E-2</v>
      </c>
      <c r="F116">
        <v>9991.8799999999992</v>
      </c>
      <c r="G116">
        <v>0</v>
      </c>
      <c r="H116">
        <f t="shared" si="7"/>
        <v>8.1200000000008002E-4</v>
      </c>
      <c r="I116">
        <v>0.46415899999999999</v>
      </c>
      <c r="J116">
        <v>0.1</v>
      </c>
      <c r="K116">
        <f t="shared" si="6"/>
        <v>9999.9969603900008</v>
      </c>
      <c r="M116" t="s">
        <v>37</v>
      </c>
      <c r="N116">
        <v>1000000000</v>
      </c>
      <c r="O116">
        <v>6393.21</v>
      </c>
      <c r="P116">
        <v>0.46416000000000002</v>
      </c>
      <c r="Q116">
        <v>0.1</v>
      </c>
      <c r="R116">
        <v>10000</v>
      </c>
      <c r="S116">
        <v>0</v>
      </c>
      <c r="T116">
        <f t="shared" si="8"/>
        <v>0</v>
      </c>
      <c r="U116" t="b">
        <f>T116&lt;=H116</f>
        <v>1</v>
      </c>
      <c r="V116">
        <f t="shared" si="9"/>
        <v>2.154434148704982E-6</v>
      </c>
      <c r="W116">
        <f t="shared" si="10"/>
        <v>0</v>
      </c>
    </row>
    <row r="117" spans="1:23" x14ac:dyDescent="0.25">
      <c r="A117" t="s">
        <v>36</v>
      </c>
      <c r="B117">
        <v>1000000000</v>
      </c>
      <c r="C117">
        <v>6620</v>
      </c>
      <c r="D117">
        <v>0.46416000000000002</v>
      </c>
      <c r="E117">
        <v>4.58E-2</v>
      </c>
      <c r="F117">
        <v>9995.93</v>
      </c>
      <c r="G117">
        <v>0</v>
      </c>
      <c r="H117">
        <f t="shared" si="7"/>
        <v>4.0699999999997092E-4</v>
      </c>
      <c r="I117">
        <v>0.46415899999999999</v>
      </c>
      <c r="J117">
        <v>4.6415999999999999E-2</v>
      </c>
      <c r="K117">
        <f t="shared" ref="K117:K166" si="13">C117 *(1+I117+J117)</f>
        <v>10000.0065</v>
      </c>
      <c r="M117" t="s">
        <v>36</v>
      </c>
      <c r="N117">
        <v>1000000000</v>
      </c>
      <c r="O117">
        <v>6620</v>
      </c>
      <c r="P117">
        <v>0.46416000000000002</v>
      </c>
      <c r="Q117">
        <v>4.6420000000000003E-2</v>
      </c>
      <c r="R117">
        <v>10000</v>
      </c>
      <c r="S117">
        <v>0</v>
      </c>
      <c r="T117">
        <f t="shared" si="8"/>
        <v>0</v>
      </c>
      <c r="U117" t="b">
        <f>T117&lt;=H117</f>
        <v>1</v>
      </c>
      <c r="V117">
        <f t="shared" si="9"/>
        <v>2.154434148704982E-6</v>
      </c>
      <c r="W117">
        <f t="shared" si="10"/>
        <v>8.6177180282747334E-5</v>
      </c>
    </row>
    <row r="118" spans="1:23" x14ac:dyDescent="0.25">
      <c r="A118" t="s">
        <v>35</v>
      </c>
      <c r="B118">
        <v>1000000000</v>
      </c>
      <c r="C118">
        <v>6730.82</v>
      </c>
      <c r="D118">
        <v>0.46416000000000002</v>
      </c>
      <c r="E118">
        <v>2.1250000000000002E-2</v>
      </c>
      <c r="F118">
        <v>9998.0400000000009</v>
      </c>
      <c r="G118">
        <v>0</v>
      </c>
      <c r="H118">
        <f t="shared" si="7"/>
        <v>1.9599999999991269E-4</v>
      </c>
      <c r="I118">
        <v>0.46415899999999999</v>
      </c>
      <c r="J118">
        <v>2.1544000000000001E-2</v>
      </c>
      <c r="K118">
        <f t="shared" si="13"/>
        <v>9999.9994664599999</v>
      </c>
      <c r="M118" t="s">
        <v>35</v>
      </c>
      <c r="N118">
        <v>1000000000</v>
      </c>
      <c r="O118">
        <v>6730.82</v>
      </c>
      <c r="P118">
        <v>0.46416000000000002</v>
      </c>
      <c r="Q118">
        <v>2.154E-2</v>
      </c>
      <c r="R118">
        <v>10000</v>
      </c>
      <c r="S118">
        <v>0</v>
      </c>
      <c r="T118">
        <f t="shared" si="8"/>
        <v>0</v>
      </c>
      <c r="U118" t="b">
        <f>T118&lt;=H118</f>
        <v>1</v>
      </c>
      <c r="V118">
        <f t="shared" si="9"/>
        <v>2.154434148704982E-6</v>
      </c>
      <c r="W118">
        <f t="shared" si="10"/>
        <v>1.8566654288899604E-4</v>
      </c>
    </row>
    <row r="119" spans="1:23" x14ac:dyDescent="0.25">
      <c r="A119" t="s">
        <v>34</v>
      </c>
      <c r="B119">
        <v>1000000000</v>
      </c>
      <c r="C119">
        <v>6783.53</v>
      </c>
      <c r="D119">
        <v>0.46416000000000002</v>
      </c>
      <c r="E119">
        <v>9.8600000000000007E-3</v>
      </c>
      <c r="F119">
        <v>9999.08</v>
      </c>
      <c r="G119">
        <v>0</v>
      </c>
      <c r="H119">
        <f t="shared" si="7"/>
        <v>9.2000000000007278E-5</v>
      </c>
      <c r="I119">
        <v>0.46415899999999999</v>
      </c>
      <c r="J119">
        <v>0.01</v>
      </c>
      <c r="K119">
        <f t="shared" si="13"/>
        <v>10000.00180127</v>
      </c>
      <c r="M119" t="s">
        <v>34</v>
      </c>
      <c r="N119">
        <v>1000000000</v>
      </c>
      <c r="O119">
        <v>6783.53</v>
      </c>
      <c r="P119">
        <v>0.46416000000000002</v>
      </c>
      <c r="Q119">
        <v>0.01</v>
      </c>
      <c r="R119">
        <v>10000</v>
      </c>
      <c r="S119">
        <v>0</v>
      </c>
      <c r="T119">
        <f t="shared" si="8"/>
        <v>0</v>
      </c>
      <c r="U119" t="b">
        <f>T119&lt;=H119</f>
        <v>1</v>
      </c>
      <c r="V119">
        <f t="shared" si="9"/>
        <v>2.154434148704982E-6</v>
      </c>
      <c r="W119">
        <f t="shared" si="10"/>
        <v>0</v>
      </c>
    </row>
    <row r="120" spans="1:23" x14ac:dyDescent="0.25">
      <c r="A120" t="s">
        <v>33</v>
      </c>
      <c r="B120">
        <v>1000000000</v>
      </c>
      <c r="C120">
        <v>6808.28</v>
      </c>
      <c r="D120">
        <v>0.46416000000000002</v>
      </c>
      <c r="E120">
        <v>4.5799999999999999E-3</v>
      </c>
      <c r="F120">
        <v>9999.57</v>
      </c>
      <c r="G120">
        <v>0</v>
      </c>
      <c r="H120">
        <f t="shared" si="7"/>
        <v>4.3000000000029106E-5</v>
      </c>
      <c r="I120">
        <v>0.46415899999999999</v>
      </c>
      <c r="J120">
        <v>4.6420000000000003E-3</v>
      </c>
      <c r="M120" t="s">
        <v>33</v>
      </c>
      <c r="N120">
        <v>1000000000</v>
      </c>
      <c r="O120">
        <v>6808.28</v>
      </c>
      <c r="P120">
        <v>0.46416000000000002</v>
      </c>
      <c r="Q120">
        <v>4.64E-3</v>
      </c>
      <c r="R120">
        <v>10000</v>
      </c>
      <c r="S120">
        <v>0</v>
      </c>
      <c r="T120">
        <f t="shared" si="8"/>
        <v>0</v>
      </c>
      <c r="U120" t="b">
        <f>T120&lt;=H120</f>
        <v>1</v>
      </c>
      <c r="V120">
        <f t="shared" si="9"/>
        <v>2.154434148704982E-6</v>
      </c>
      <c r="W120">
        <f t="shared" si="10"/>
        <v>4.3084877208105675E-4</v>
      </c>
    </row>
    <row r="121" spans="1:23" x14ac:dyDescent="0.25">
      <c r="A121" t="s">
        <v>32</v>
      </c>
      <c r="B121">
        <v>1000000000</v>
      </c>
      <c r="C121">
        <v>6819.82</v>
      </c>
      <c r="D121">
        <v>0.46416000000000002</v>
      </c>
      <c r="E121">
        <v>2.1199999999999999E-3</v>
      </c>
      <c r="F121">
        <v>9999.7999999999993</v>
      </c>
      <c r="G121">
        <v>0</v>
      </c>
      <c r="H121">
        <f t="shared" si="7"/>
        <v>2.0000000000072758E-5</v>
      </c>
      <c r="I121">
        <v>0.46415899999999999</v>
      </c>
      <c r="J121">
        <v>2.1540000000000001E-3</v>
      </c>
      <c r="M121" t="s">
        <v>32</v>
      </c>
      <c r="N121">
        <v>1000000000</v>
      </c>
      <c r="O121">
        <v>6819.82</v>
      </c>
      <c r="P121">
        <v>0.46416000000000002</v>
      </c>
      <c r="Q121">
        <v>2.15E-3</v>
      </c>
      <c r="R121">
        <v>10000</v>
      </c>
      <c r="S121">
        <v>0</v>
      </c>
      <c r="T121">
        <f t="shared" si="8"/>
        <v>0</v>
      </c>
      <c r="U121" t="b">
        <f>T121&lt;=H121</f>
        <v>1</v>
      </c>
      <c r="V121">
        <f t="shared" si="9"/>
        <v>2.154434148704982E-6</v>
      </c>
      <c r="W121">
        <f t="shared" si="10"/>
        <v>1.8570102135562197E-3</v>
      </c>
    </row>
    <row r="122" spans="1:23" x14ac:dyDescent="0.25">
      <c r="A122" t="s">
        <v>31</v>
      </c>
      <c r="B122">
        <v>1000000000</v>
      </c>
      <c r="C122">
        <v>6825.2</v>
      </c>
      <c r="D122">
        <v>0.46416000000000002</v>
      </c>
      <c r="E122">
        <v>9.8999999999999999E-4</v>
      </c>
      <c r="F122">
        <v>9999.91</v>
      </c>
      <c r="G122">
        <v>0</v>
      </c>
      <c r="H122">
        <f t="shared" si="7"/>
        <v>9.0000000000145523E-6</v>
      </c>
      <c r="I122">
        <v>0.46415899999999999</v>
      </c>
      <c r="J122">
        <v>1E-3</v>
      </c>
      <c r="M122" t="s">
        <v>31</v>
      </c>
      <c r="N122">
        <v>1000000000</v>
      </c>
      <c r="O122">
        <v>6825.2</v>
      </c>
      <c r="P122">
        <v>0.46416000000000002</v>
      </c>
      <c r="Q122">
        <v>1E-3</v>
      </c>
      <c r="R122">
        <v>10000</v>
      </c>
      <c r="S122">
        <v>0</v>
      </c>
      <c r="T122">
        <f t="shared" si="8"/>
        <v>0</v>
      </c>
      <c r="U122" t="b">
        <f>T122&lt;=H122</f>
        <v>1</v>
      </c>
      <c r="V122">
        <f t="shared" si="9"/>
        <v>2.154434148704982E-6</v>
      </c>
      <c r="W122">
        <f t="shared" si="10"/>
        <v>0</v>
      </c>
    </row>
    <row r="125" spans="1:23" x14ac:dyDescent="0.25">
      <c r="A125" t="s">
        <v>0</v>
      </c>
      <c r="B125" t="s">
        <v>1</v>
      </c>
      <c r="C125" t="s">
        <v>2</v>
      </c>
      <c r="D125" t="s">
        <v>3</v>
      </c>
      <c r="E125" t="s">
        <v>4</v>
      </c>
      <c r="F125" t="s">
        <v>5</v>
      </c>
      <c r="G125" t="s">
        <v>6</v>
      </c>
      <c r="M125" t="s">
        <v>0</v>
      </c>
      <c r="N125" t="s">
        <v>1</v>
      </c>
      <c r="O125" t="s">
        <v>2</v>
      </c>
      <c r="P125" t="s">
        <v>3</v>
      </c>
      <c r="Q125" t="s">
        <v>4</v>
      </c>
      <c r="R125" t="s">
        <v>5</v>
      </c>
      <c r="S125" t="s">
        <v>6</v>
      </c>
    </row>
    <row r="126" spans="1:23" x14ac:dyDescent="0.25">
      <c r="A126" t="s">
        <v>30</v>
      </c>
      <c r="B126">
        <v>1000000000</v>
      </c>
      <c r="C126">
        <v>6988.67</v>
      </c>
      <c r="D126">
        <v>0.21543999999999999</v>
      </c>
      <c r="E126">
        <v>0.21543999999999999</v>
      </c>
      <c r="F126">
        <v>10000</v>
      </c>
      <c r="G126">
        <v>0</v>
      </c>
      <c r="H126">
        <f t="shared" si="7"/>
        <v>0</v>
      </c>
      <c r="I126">
        <v>0.215443</v>
      </c>
      <c r="J126">
        <v>0.215443</v>
      </c>
      <c r="K126">
        <f t="shared" si="11"/>
        <v>9999.9900616200011</v>
      </c>
      <c r="M126" t="s">
        <v>30</v>
      </c>
      <c r="N126">
        <v>1000000000</v>
      </c>
      <c r="O126">
        <v>6988.67</v>
      </c>
      <c r="P126">
        <v>0.21543999999999999</v>
      </c>
      <c r="Q126">
        <v>0.21543999999999999</v>
      </c>
      <c r="R126">
        <v>10000</v>
      </c>
      <c r="S126">
        <v>0</v>
      </c>
      <c r="T126">
        <f t="shared" si="8"/>
        <v>0</v>
      </c>
      <c r="U126" t="b">
        <f>T126&lt;=H126</f>
        <v>1</v>
      </c>
      <c r="V126">
        <f t="shared" si="9"/>
        <v>1.3924796814020416E-5</v>
      </c>
      <c r="W126">
        <f t="shared" si="10"/>
        <v>1.3924796814020416E-5</v>
      </c>
    </row>
    <row r="127" spans="1:23" x14ac:dyDescent="0.25">
      <c r="A127" t="s">
        <v>29</v>
      </c>
      <c r="B127">
        <v>1000000000</v>
      </c>
      <c r="C127">
        <v>7602</v>
      </c>
      <c r="D127">
        <v>0.21543999999999999</v>
      </c>
      <c r="E127">
        <v>9.8790000000000003E-2</v>
      </c>
      <c r="F127">
        <v>9990.7900000000009</v>
      </c>
      <c r="G127">
        <v>0</v>
      </c>
      <c r="H127">
        <f t="shared" si="7"/>
        <v>9.2099999999991267E-4</v>
      </c>
      <c r="I127">
        <v>0.215443</v>
      </c>
      <c r="J127">
        <v>0.1</v>
      </c>
      <c r="K127">
        <f t="shared" si="11"/>
        <v>9999.9976860000006</v>
      </c>
      <c r="M127" t="s">
        <v>29</v>
      </c>
      <c r="N127">
        <v>1000000000</v>
      </c>
      <c r="O127">
        <v>7602</v>
      </c>
      <c r="P127">
        <v>0.21543999999999999</v>
      </c>
      <c r="Q127">
        <v>0.1</v>
      </c>
      <c r="R127">
        <v>10000</v>
      </c>
      <c r="S127">
        <v>0</v>
      </c>
      <c r="T127">
        <f t="shared" si="8"/>
        <v>0</v>
      </c>
      <c r="U127" t="b">
        <f>T127&lt;=H127</f>
        <v>1</v>
      </c>
      <c r="V127">
        <f t="shared" si="9"/>
        <v>1.3924796814020416E-5</v>
      </c>
      <c r="W127">
        <f t="shared" si="10"/>
        <v>0</v>
      </c>
    </row>
    <row r="128" spans="1:23" x14ac:dyDescent="0.25">
      <c r="A128" t="s">
        <v>28</v>
      </c>
      <c r="B128">
        <v>1000000000</v>
      </c>
      <c r="C128">
        <v>7924.81</v>
      </c>
      <c r="D128">
        <v>0.21543999999999999</v>
      </c>
      <c r="E128">
        <v>4.5809999999999997E-2</v>
      </c>
      <c r="F128">
        <v>9995.24</v>
      </c>
      <c r="G128">
        <v>0</v>
      </c>
      <c r="H128">
        <f t="shared" si="7"/>
        <v>4.7600000000002182E-4</v>
      </c>
      <c r="I128">
        <v>0.215443</v>
      </c>
      <c r="J128">
        <v>4.6415999999999999E-2</v>
      </c>
      <c r="K128">
        <f t="shared" si="11"/>
        <v>9999.9928217900015</v>
      </c>
      <c r="M128" t="s">
        <v>28</v>
      </c>
      <c r="N128">
        <v>1000000000</v>
      </c>
      <c r="O128">
        <v>7924.81</v>
      </c>
      <c r="P128">
        <v>0.21543999999999999</v>
      </c>
      <c r="Q128">
        <v>4.6420000000000003E-2</v>
      </c>
      <c r="R128">
        <v>10000</v>
      </c>
      <c r="S128">
        <v>0</v>
      </c>
      <c r="T128">
        <f t="shared" si="8"/>
        <v>0</v>
      </c>
      <c r="U128" t="b">
        <f>T128&lt;=H128</f>
        <v>1</v>
      </c>
      <c r="V128">
        <f t="shared" si="9"/>
        <v>1.3924796814020416E-5</v>
      </c>
      <c r="W128">
        <f t="shared" si="10"/>
        <v>8.6177180282747334E-5</v>
      </c>
    </row>
    <row r="129" spans="1:23" x14ac:dyDescent="0.25">
      <c r="A129" t="s">
        <v>27</v>
      </c>
      <c r="B129">
        <v>1000000000</v>
      </c>
      <c r="C129">
        <v>8084.15</v>
      </c>
      <c r="D129">
        <v>0.21543999999999999</v>
      </c>
      <c r="E129">
        <v>2.1260000000000001E-2</v>
      </c>
      <c r="F129">
        <v>9997.67</v>
      </c>
      <c r="G129">
        <v>0</v>
      </c>
      <c r="H129">
        <f t="shared" si="7"/>
        <v>2.3299999999999273E-4</v>
      </c>
      <c r="I129">
        <v>0.215443</v>
      </c>
      <c r="J129">
        <v>2.1544000000000001E-2</v>
      </c>
      <c r="K129">
        <f t="shared" si="11"/>
        <v>9999.9884560499995</v>
      </c>
      <c r="M129" t="s">
        <v>27</v>
      </c>
      <c r="N129">
        <v>1000000000</v>
      </c>
      <c r="O129">
        <v>8084.15</v>
      </c>
      <c r="P129">
        <v>0.21543999999999999</v>
      </c>
      <c r="Q129">
        <v>2.154E-2</v>
      </c>
      <c r="R129">
        <v>10000</v>
      </c>
      <c r="S129">
        <v>0</v>
      </c>
      <c r="T129">
        <f t="shared" si="8"/>
        <v>0</v>
      </c>
      <c r="U129" t="b">
        <f>T129&lt;=H129</f>
        <v>1</v>
      </c>
      <c r="V129">
        <f t="shared" si="9"/>
        <v>1.3924796814020416E-5</v>
      </c>
      <c r="W129">
        <f t="shared" si="10"/>
        <v>1.8566654288899604E-4</v>
      </c>
    </row>
    <row r="130" spans="1:23" x14ac:dyDescent="0.25">
      <c r="A130" t="s">
        <v>26</v>
      </c>
      <c r="B130">
        <v>1000000000</v>
      </c>
      <c r="C130">
        <v>8160.31</v>
      </c>
      <c r="D130">
        <v>0.21543999999999999</v>
      </c>
      <c r="E130">
        <v>9.8600000000000007E-3</v>
      </c>
      <c r="F130">
        <v>9998.89</v>
      </c>
      <c r="G130">
        <v>0</v>
      </c>
      <c r="H130">
        <f t="shared" si="7"/>
        <v>1.1100000000005821E-4</v>
      </c>
      <c r="I130">
        <v>0.215443</v>
      </c>
      <c r="J130">
        <v>0.01</v>
      </c>
      <c r="K130">
        <f t="shared" si="11"/>
        <v>9999.9947673300012</v>
      </c>
      <c r="M130" t="s">
        <v>26</v>
      </c>
      <c r="N130">
        <v>1000000000</v>
      </c>
      <c r="O130">
        <v>8160.31</v>
      </c>
      <c r="P130">
        <v>0.21543999999999999</v>
      </c>
      <c r="Q130">
        <v>0.01</v>
      </c>
      <c r="R130">
        <v>10000</v>
      </c>
      <c r="S130">
        <v>0</v>
      </c>
      <c r="T130">
        <f t="shared" si="8"/>
        <v>0</v>
      </c>
      <c r="U130" t="b">
        <f>T130&lt;=H130</f>
        <v>1</v>
      </c>
      <c r="V130">
        <f t="shared" si="9"/>
        <v>1.3924796814020416E-5</v>
      </c>
      <c r="W130">
        <f t="shared" si="10"/>
        <v>0</v>
      </c>
    </row>
    <row r="131" spans="1:23" x14ac:dyDescent="0.25">
      <c r="A131" t="s">
        <v>25</v>
      </c>
      <c r="B131">
        <v>1000000000</v>
      </c>
      <c r="C131">
        <v>8196.15</v>
      </c>
      <c r="D131">
        <v>0.21543999999999999</v>
      </c>
      <c r="E131">
        <v>4.5799999999999999E-3</v>
      </c>
      <c r="F131">
        <v>9999.48</v>
      </c>
      <c r="G131">
        <v>0</v>
      </c>
      <c r="H131">
        <f t="shared" ref="H131:H182" si="14">ABS(10000-F131)/10000</f>
        <v>5.2000000000043656E-5</v>
      </c>
      <c r="I131">
        <v>0.215443</v>
      </c>
      <c r="J131">
        <v>4.6420000000000003E-3</v>
      </c>
      <c r="K131">
        <f t="shared" si="11"/>
        <v>9999.9996727500002</v>
      </c>
      <c r="M131" t="s">
        <v>25</v>
      </c>
      <c r="N131">
        <v>1000000000</v>
      </c>
      <c r="O131">
        <v>8196.15</v>
      </c>
      <c r="P131">
        <v>0.21543999999999999</v>
      </c>
      <c r="Q131">
        <v>4.64E-3</v>
      </c>
      <c r="R131">
        <v>10000</v>
      </c>
      <c r="S131">
        <v>0</v>
      </c>
      <c r="T131">
        <f t="shared" ref="T131:T182" si="15">ABS(10000-R131)/10000</f>
        <v>0</v>
      </c>
      <c r="U131" t="b">
        <f>T131&lt;=H131</f>
        <v>1</v>
      </c>
      <c r="V131">
        <f t="shared" ref="V131:V182" si="16">ABS(I131-P131)/I131</f>
        <v>1.3924796814020416E-5</v>
      </c>
      <c r="W131">
        <f t="shared" ref="W131:W182" si="17">ABS(J131-Q131)/J131</f>
        <v>4.3084877208105675E-4</v>
      </c>
    </row>
    <row r="132" spans="1:23" x14ac:dyDescent="0.25">
      <c r="A132" t="s">
        <v>24</v>
      </c>
      <c r="B132">
        <v>1000000000</v>
      </c>
      <c r="C132">
        <v>8212.89</v>
      </c>
      <c r="D132">
        <v>0.21543999999999999</v>
      </c>
      <c r="E132">
        <v>2.1199999999999999E-3</v>
      </c>
      <c r="F132">
        <v>9999.76</v>
      </c>
      <c r="G132">
        <v>0</v>
      </c>
      <c r="H132">
        <f t="shared" si="14"/>
        <v>2.3999999999978171E-5</v>
      </c>
      <c r="I132">
        <v>0.215443</v>
      </c>
      <c r="J132">
        <v>2.1540000000000001E-3</v>
      </c>
      <c r="K132">
        <f t="shared" si="11"/>
        <v>9999.9902253299988</v>
      </c>
      <c r="M132" t="s">
        <v>24</v>
      </c>
      <c r="N132">
        <v>1000000000</v>
      </c>
      <c r="O132">
        <v>8212.89</v>
      </c>
      <c r="P132">
        <v>0.21543999999999999</v>
      </c>
      <c r="Q132">
        <v>2.15E-3</v>
      </c>
      <c r="R132">
        <v>10000</v>
      </c>
      <c r="S132">
        <v>0</v>
      </c>
      <c r="T132">
        <f t="shared" si="15"/>
        <v>0</v>
      </c>
      <c r="U132" t="b">
        <f>T132&lt;=H132</f>
        <v>1</v>
      </c>
      <c r="V132">
        <f t="shared" si="16"/>
        <v>1.3924796814020416E-5</v>
      </c>
      <c r="W132">
        <f t="shared" si="17"/>
        <v>1.8570102135562197E-3</v>
      </c>
    </row>
    <row r="133" spans="1:23" x14ac:dyDescent="0.25">
      <c r="A133" t="s">
        <v>23</v>
      </c>
      <c r="B133">
        <v>1000000000</v>
      </c>
      <c r="C133">
        <v>8220.69</v>
      </c>
      <c r="D133">
        <v>0.21543999999999999</v>
      </c>
      <c r="E133">
        <v>9.8999999999999999E-4</v>
      </c>
      <c r="F133">
        <v>9999.89</v>
      </c>
      <c r="G133">
        <v>0</v>
      </c>
      <c r="H133">
        <f t="shared" si="14"/>
        <v>1.1000000000058208E-5</v>
      </c>
      <c r="I133">
        <v>0.215443</v>
      </c>
      <c r="J133">
        <v>1E-3</v>
      </c>
      <c r="K133">
        <f t="shared" si="11"/>
        <v>10000.000805670001</v>
      </c>
      <c r="M133" t="s">
        <v>23</v>
      </c>
      <c r="N133">
        <v>1000000000</v>
      </c>
      <c r="O133">
        <v>8220.69</v>
      </c>
      <c r="P133">
        <v>0.21543999999999999</v>
      </c>
      <c r="Q133">
        <v>1E-3</v>
      </c>
      <c r="R133">
        <v>10000</v>
      </c>
      <c r="S133">
        <v>0</v>
      </c>
      <c r="T133">
        <f t="shared" si="15"/>
        <v>0</v>
      </c>
      <c r="U133" t="b">
        <f>T133&lt;=H133</f>
        <v>1</v>
      </c>
      <c r="V133">
        <f t="shared" si="16"/>
        <v>1.3924796814020416E-5</v>
      </c>
      <c r="W133">
        <f t="shared" si="17"/>
        <v>0</v>
      </c>
    </row>
    <row r="136" spans="1:23" x14ac:dyDescent="0.25">
      <c r="A136" t="s">
        <v>0</v>
      </c>
      <c r="B136" t="s">
        <v>1</v>
      </c>
      <c r="C136" t="s">
        <v>2</v>
      </c>
      <c r="D136" t="s">
        <v>3</v>
      </c>
      <c r="E136" t="s">
        <v>4</v>
      </c>
      <c r="F136" t="s">
        <v>5</v>
      </c>
      <c r="G136" t="s">
        <v>6</v>
      </c>
      <c r="M136" t="s">
        <v>0</v>
      </c>
      <c r="N136" t="s">
        <v>1</v>
      </c>
      <c r="O136" t="s">
        <v>2</v>
      </c>
      <c r="P136" t="s">
        <v>3</v>
      </c>
      <c r="Q136" t="s">
        <v>4</v>
      </c>
      <c r="R136" t="s">
        <v>5</v>
      </c>
      <c r="S136" t="s">
        <v>6</v>
      </c>
    </row>
    <row r="137" spans="1:23" x14ac:dyDescent="0.25">
      <c r="A137" t="s">
        <v>88</v>
      </c>
      <c r="B137">
        <v>1000000000</v>
      </c>
      <c r="C137">
        <v>8333.33</v>
      </c>
      <c r="D137">
        <v>9.887E-2</v>
      </c>
      <c r="E137">
        <v>9.887E-2</v>
      </c>
      <c r="F137">
        <v>9981.17</v>
      </c>
      <c r="G137">
        <v>0</v>
      </c>
      <c r="H137">
        <f t="shared" si="14"/>
        <v>1.8829999999999928E-3</v>
      </c>
      <c r="I137">
        <v>0.1</v>
      </c>
      <c r="J137">
        <v>0.1</v>
      </c>
      <c r="K137">
        <f t="shared" ref="K137:K182" si="18">C137*(1+I137+J137)</f>
        <v>9999.996000000001</v>
      </c>
      <c r="M137" t="s">
        <v>88</v>
      </c>
      <c r="N137">
        <v>1000000000</v>
      </c>
      <c r="O137">
        <v>8333.33</v>
      </c>
      <c r="P137">
        <v>0.1</v>
      </c>
      <c r="Q137">
        <v>0.1</v>
      </c>
      <c r="R137">
        <v>10000</v>
      </c>
      <c r="S137">
        <v>0</v>
      </c>
      <c r="T137">
        <f t="shared" si="15"/>
        <v>0</v>
      </c>
      <c r="U137" t="b">
        <f>T137&lt;=H137</f>
        <v>1</v>
      </c>
      <c r="V137">
        <f t="shared" si="16"/>
        <v>0</v>
      </c>
      <c r="W137">
        <f t="shared" si="17"/>
        <v>0</v>
      </c>
    </row>
    <row r="138" spans="1:23" x14ac:dyDescent="0.25">
      <c r="A138" t="s">
        <v>87</v>
      </c>
      <c r="B138">
        <v>1000000000</v>
      </c>
      <c r="C138">
        <v>8722.84</v>
      </c>
      <c r="D138">
        <v>9.8930000000000004E-2</v>
      </c>
      <c r="E138">
        <v>4.5850000000000002E-2</v>
      </c>
      <c r="F138">
        <v>9985.66</v>
      </c>
      <c r="G138">
        <v>0</v>
      </c>
      <c r="H138">
        <f t="shared" si="14"/>
        <v>1.4340000000000145E-3</v>
      </c>
      <c r="I138">
        <v>0.1</v>
      </c>
      <c r="J138">
        <v>4.6415999999999999E-2</v>
      </c>
      <c r="K138">
        <f t="shared" si="18"/>
        <v>10000.00334144</v>
      </c>
      <c r="M138" t="s">
        <v>87</v>
      </c>
      <c r="N138">
        <v>1000000000</v>
      </c>
      <c r="O138">
        <v>8722.84</v>
      </c>
      <c r="P138">
        <v>0.1</v>
      </c>
      <c r="Q138">
        <v>4.6420000000000003E-2</v>
      </c>
      <c r="R138">
        <v>10000</v>
      </c>
      <c r="S138">
        <v>0</v>
      </c>
      <c r="T138">
        <f t="shared" si="15"/>
        <v>0</v>
      </c>
      <c r="U138" t="b">
        <f>T138&lt;=H138</f>
        <v>1</v>
      </c>
      <c r="V138">
        <f t="shared" si="16"/>
        <v>0</v>
      </c>
      <c r="W138">
        <f t="shared" si="17"/>
        <v>8.6177180282747334E-5</v>
      </c>
    </row>
    <row r="139" spans="1:23" x14ac:dyDescent="0.25">
      <c r="A139" t="s">
        <v>86</v>
      </c>
      <c r="B139">
        <v>1000000000</v>
      </c>
      <c r="C139">
        <v>8916.2800000000007</v>
      </c>
      <c r="D139">
        <v>9.8960000000000006E-2</v>
      </c>
      <c r="E139">
        <v>2.1270000000000001E-2</v>
      </c>
      <c r="F139">
        <v>9988.26</v>
      </c>
      <c r="G139">
        <v>0</v>
      </c>
      <c r="H139">
        <f t="shared" si="14"/>
        <v>1.1739999999999782E-3</v>
      </c>
      <c r="I139">
        <v>0.1</v>
      </c>
      <c r="J139">
        <v>2.1544000000000001E-2</v>
      </c>
      <c r="K139">
        <f t="shared" si="18"/>
        <v>10000.000336320001</v>
      </c>
      <c r="M139" t="s">
        <v>86</v>
      </c>
      <c r="N139">
        <v>1000000000</v>
      </c>
      <c r="O139">
        <v>8916.2800000000007</v>
      </c>
      <c r="P139">
        <v>0.1</v>
      </c>
      <c r="Q139">
        <v>2.154E-2</v>
      </c>
      <c r="R139">
        <v>10000</v>
      </c>
      <c r="S139">
        <v>0</v>
      </c>
      <c r="T139">
        <f t="shared" si="15"/>
        <v>0</v>
      </c>
      <c r="U139" t="b">
        <f>T139&lt;=H139</f>
        <v>1</v>
      </c>
      <c r="V139">
        <f t="shared" si="16"/>
        <v>0</v>
      </c>
      <c r="W139">
        <f t="shared" si="17"/>
        <v>1.8566654288899604E-4</v>
      </c>
    </row>
    <row r="140" spans="1:23" x14ac:dyDescent="0.25">
      <c r="A140" t="s">
        <v>85</v>
      </c>
      <c r="B140">
        <v>1000000000</v>
      </c>
      <c r="C140">
        <v>9009.01</v>
      </c>
      <c r="D140">
        <v>9.8979999999999999E-2</v>
      </c>
      <c r="E140">
        <v>9.8700000000000003E-3</v>
      </c>
      <c r="F140">
        <v>9989.6</v>
      </c>
      <c r="G140">
        <v>0</v>
      </c>
      <c r="H140">
        <f t="shared" si="14"/>
        <v>1.0399999999999637E-3</v>
      </c>
      <c r="I140">
        <v>0.1</v>
      </c>
      <c r="J140">
        <v>0.01</v>
      </c>
      <c r="K140">
        <f t="shared" si="18"/>
        <v>10000.001100000001</v>
      </c>
      <c r="M140" t="s">
        <v>85</v>
      </c>
      <c r="N140">
        <v>1000000000</v>
      </c>
      <c r="O140">
        <v>9009.01</v>
      </c>
      <c r="P140">
        <v>0.1</v>
      </c>
      <c r="Q140">
        <v>0.01</v>
      </c>
      <c r="R140">
        <v>10000</v>
      </c>
      <c r="S140">
        <v>0</v>
      </c>
      <c r="T140">
        <f t="shared" si="15"/>
        <v>0</v>
      </c>
      <c r="U140" t="b">
        <f>T140&lt;=H140</f>
        <v>1</v>
      </c>
      <c r="V140">
        <f t="shared" si="16"/>
        <v>0</v>
      </c>
      <c r="W140">
        <f t="shared" si="17"/>
        <v>0</v>
      </c>
    </row>
    <row r="141" spans="1:23" x14ac:dyDescent="0.25">
      <c r="A141" t="s">
        <v>84</v>
      </c>
      <c r="B141">
        <v>1000000000</v>
      </c>
      <c r="C141">
        <v>9052.7099999999991</v>
      </c>
      <c r="D141">
        <v>9.8979999999999999E-2</v>
      </c>
      <c r="E141">
        <v>4.5799999999999999E-3</v>
      </c>
      <c r="F141">
        <v>9990.24</v>
      </c>
      <c r="G141">
        <v>0</v>
      </c>
      <c r="H141">
        <f t="shared" si="14"/>
        <v>9.7600000000002188E-4</v>
      </c>
      <c r="I141">
        <v>0.1</v>
      </c>
      <c r="J141">
        <v>4.6420000000000003E-3</v>
      </c>
      <c r="K141">
        <f t="shared" si="18"/>
        <v>10000.00367982</v>
      </c>
      <c r="M141" t="s">
        <v>84</v>
      </c>
      <c r="N141">
        <v>1000000000</v>
      </c>
      <c r="O141">
        <v>9052.7099999999991</v>
      </c>
      <c r="P141">
        <v>0.1</v>
      </c>
      <c r="Q141">
        <v>4.64E-3</v>
      </c>
      <c r="R141">
        <v>10000</v>
      </c>
      <c r="S141">
        <v>0</v>
      </c>
      <c r="T141">
        <f t="shared" si="15"/>
        <v>0</v>
      </c>
      <c r="U141" t="b">
        <f>T141&lt;=H141</f>
        <v>1</v>
      </c>
      <c r="V141">
        <f t="shared" si="16"/>
        <v>0</v>
      </c>
      <c r="W141">
        <f t="shared" si="17"/>
        <v>4.3084877208105675E-4</v>
      </c>
    </row>
    <row r="142" spans="1:23" x14ac:dyDescent="0.25">
      <c r="A142" t="s">
        <v>83</v>
      </c>
      <c r="B142">
        <v>1000000000</v>
      </c>
      <c r="C142">
        <v>9073.14</v>
      </c>
      <c r="D142">
        <v>9.8989999999999995E-2</v>
      </c>
      <c r="E142">
        <v>2.1299999999999999E-3</v>
      </c>
      <c r="F142">
        <v>9990.5499999999993</v>
      </c>
      <c r="G142">
        <v>0</v>
      </c>
      <c r="H142">
        <f t="shared" si="14"/>
        <v>9.4500000000007273E-4</v>
      </c>
      <c r="I142">
        <v>0.1</v>
      </c>
      <c r="J142">
        <v>2.1540000000000001E-3</v>
      </c>
      <c r="K142">
        <f t="shared" si="18"/>
        <v>9999.9975435600008</v>
      </c>
      <c r="M142" t="s">
        <v>83</v>
      </c>
      <c r="N142">
        <v>1000000000</v>
      </c>
      <c r="O142">
        <v>9073.14</v>
      </c>
      <c r="P142">
        <v>0.1</v>
      </c>
      <c r="Q142">
        <v>2.15E-3</v>
      </c>
      <c r="R142">
        <v>10000</v>
      </c>
      <c r="S142">
        <v>0</v>
      </c>
      <c r="T142">
        <f t="shared" si="15"/>
        <v>0</v>
      </c>
      <c r="U142" t="b">
        <f>T142&lt;=H142</f>
        <v>1</v>
      </c>
      <c r="V142">
        <f t="shared" si="16"/>
        <v>0</v>
      </c>
      <c r="W142">
        <f t="shared" si="17"/>
        <v>1.8570102135562197E-3</v>
      </c>
    </row>
    <row r="143" spans="1:23" x14ac:dyDescent="0.25">
      <c r="A143" t="s">
        <v>82</v>
      </c>
      <c r="B143">
        <v>1000000000</v>
      </c>
      <c r="C143">
        <v>9082.65</v>
      </c>
      <c r="D143">
        <v>9.8989999999999995E-2</v>
      </c>
      <c r="E143">
        <v>9.8999999999999999E-4</v>
      </c>
      <c r="F143">
        <v>9990.69</v>
      </c>
      <c r="G143">
        <v>0</v>
      </c>
      <c r="H143">
        <f t="shared" si="14"/>
        <v>9.3099999999994912E-4</v>
      </c>
      <c r="I143">
        <v>0.1</v>
      </c>
      <c r="J143">
        <v>1E-3</v>
      </c>
      <c r="K143">
        <f t="shared" si="18"/>
        <v>9999.9976499999993</v>
      </c>
      <c r="M143" t="s">
        <v>82</v>
      </c>
      <c r="N143">
        <v>1000000000</v>
      </c>
      <c r="O143">
        <v>9082.65</v>
      </c>
      <c r="P143">
        <v>0.1</v>
      </c>
      <c r="Q143">
        <v>1E-3</v>
      </c>
      <c r="R143">
        <v>10000</v>
      </c>
      <c r="S143">
        <v>0</v>
      </c>
      <c r="T143">
        <f t="shared" si="15"/>
        <v>0</v>
      </c>
      <c r="U143" t="b">
        <f>T143&lt;=H143</f>
        <v>1</v>
      </c>
      <c r="V143">
        <f t="shared" si="16"/>
        <v>0</v>
      </c>
      <c r="W143">
        <f t="shared" si="17"/>
        <v>0</v>
      </c>
    </row>
    <row r="146" spans="1:23" x14ac:dyDescent="0.25">
      <c r="A146" t="s">
        <v>0</v>
      </c>
      <c r="B146" t="s">
        <v>1</v>
      </c>
      <c r="C146" t="s">
        <v>2</v>
      </c>
      <c r="D146" t="s">
        <v>3</v>
      </c>
      <c r="E146" t="s">
        <v>4</v>
      </c>
      <c r="F146" t="s">
        <v>5</v>
      </c>
      <c r="G146" t="s">
        <v>6</v>
      </c>
      <c r="M146" t="s">
        <v>0</v>
      </c>
      <c r="N146" t="s">
        <v>1</v>
      </c>
      <c r="O146" t="s">
        <v>2</v>
      </c>
      <c r="P146" t="s">
        <v>3</v>
      </c>
      <c r="Q146" t="s">
        <v>4</v>
      </c>
      <c r="R146" t="s">
        <v>5</v>
      </c>
      <c r="S146" t="s">
        <v>6</v>
      </c>
    </row>
    <row r="147" spans="1:23" x14ac:dyDescent="0.25">
      <c r="A147" t="s">
        <v>81</v>
      </c>
      <c r="B147">
        <v>1000000000</v>
      </c>
      <c r="C147">
        <v>9150.5400000000009</v>
      </c>
      <c r="D147">
        <v>4.5870000000000001E-2</v>
      </c>
      <c r="E147">
        <v>4.5870000000000001E-2</v>
      </c>
      <c r="F147">
        <v>9989.98</v>
      </c>
      <c r="G147">
        <v>0</v>
      </c>
      <c r="H147">
        <f t="shared" si="14"/>
        <v>1.0020000000000437E-3</v>
      </c>
      <c r="I147">
        <v>4.6415999999999999E-2</v>
      </c>
      <c r="J147">
        <v>4.6415999999999999E-2</v>
      </c>
      <c r="K147">
        <f t="shared" si="18"/>
        <v>10000.002929280001</v>
      </c>
      <c r="M147" t="s">
        <v>81</v>
      </c>
      <c r="N147">
        <v>1000000000</v>
      </c>
      <c r="O147">
        <v>9150.5400000000009</v>
      </c>
      <c r="P147">
        <v>4.6420000000000003E-2</v>
      </c>
      <c r="Q147">
        <v>4.6420000000000003E-2</v>
      </c>
      <c r="R147">
        <v>10000</v>
      </c>
      <c r="S147">
        <v>0</v>
      </c>
      <c r="T147">
        <f t="shared" si="15"/>
        <v>0</v>
      </c>
      <c r="U147" t="b">
        <f>T147&lt;=H147</f>
        <v>1</v>
      </c>
      <c r="V147">
        <f t="shared" si="16"/>
        <v>8.6177180282747334E-5</v>
      </c>
      <c r="W147">
        <f t="shared" si="17"/>
        <v>8.6177180282747334E-5</v>
      </c>
    </row>
    <row r="148" spans="1:23" x14ac:dyDescent="0.25">
      <c r="A148" t="s">
        <v>80</v>
      </c>
      <c r="B148">
        <v>1000000000</v>
      </c>
      <c r="C148">
        <v>9363.64</v>
      </c>
      <c r="D148">
        <v>4.5879999999999997E-2</v>
      </c>
      <c r="E148">
        <v>2.128E-2</v>
      </c>
      <c r="F148">
        <v>9992.51</v>
      </c>
      <c r="G148">
        <v>0</v>
      </c>
      <c r="H148">
        <f t="shared" si="14"/>
        <v>7.489999999999782E-4</v>
      </c>
      <c r="I148">
        <v>4.6415999999999999E-2</v>
      </c>
      <c r="J148">
        <v>2.1544000000000001E-2</v>
      </c>
      <c r="K148">
        <f t="shared" si="18"/>
        <v>9999.9929744000001</v>
      </c>
      <c r="M148" t="s">
        <v>80</v>
      </c>
      <c r="N148">
        <v>1000000000</v>
      </c>
      <c r="O148">
        <v>9363.64</v>
      </c>
      <c r="P148">
        <v>4.6420000000000003E-2</v>
      </c>
      <c r="Q148">
        <v>2.154E-2</v>
      </c>
      <c r="R148">
        <v>10000</v>
      </c>
      <c r="S148">
        <v>0</v>
      </c>
      <c r="T148">
        <f t="shared" si="15"/>
        <v>0</v>
      </c>
      <c r="U148" t="b">
        <f>T148&lt;=H148</f>
        <v>1</v>
      </c>
      <c r="V148">
        <f t="shared" si="16"/>
        <v>8.6177180282747334E-5</v>
      </c>
      <c r="W148">
        <f t="shared" si="17"/>
        <v>1.8566654288899604E-4</v>
      </c>
    </row>
    <row r="149" spans="1:23" x14ac:dyDescent="0.25">
      <c r="A149" t="s">
        <v>79</v>
      </c>
      <c r="B149">
        <v>1000000000</v>
      </c>
      <c r="C149">
        <v>9465.9699999999993</v>
      </c>
      <c r="D149">
        <v>4.589E-2</v>
      </c>
      <c r="E149">
        <v>9.8700000000000003E-3</v>
      </c>
      <c r="F149">
        <v>9993.81</v>
      </c>
      <c r="G149">
        <v>0</v>
      </c>
      <c r="H149">
        <f t="shared" si="14"/>
        <v>6.1900000000005093E-4</v>
      </c>
      <c r="I149">
        <v>4.6415999999999999E-2</v>
      </c>
      <c r="J149">
        <v>0.01</v>
      </c>
      <c r="K149">
        <f t="shared" si="18"/>
        <v>10000.002163519999</v>
      </c>
      <c r="M149" t="s">
        <v>79</v>
      </c>
      <c r="N149">
        <v>1000000000</v>
      </c>
      <c r="O149">
        <v>9465.9699999999993</v>
      </c>
      <c r="P149">
        <v>4.6420000000000003E-2</v>
      </c>
      <c r="Q149">
        <v>0.01</v>
      </c>
      <c r="R149">
        <v>10000</v>
      </c>
      <c r="S149">
        <v>0</v>
      </c>
      <c r="T149">
        <f t="shared" si="15"/>
        <v>0</v>
      </c>
      <c r="U149" t="b">
        <f>T149&lt;=H149</f>
        <v>1</v>
      </c>
      <c r="V149">
        <f t="shared" si="16"/>
        <v>8.6177180282747334E-5</v>
      </c>
      <c r="W149">
        <f t="shared" si="17"/>
        <v>0</v>
      </c>
    </row>
    <row r="150" spans="1:23" x14ac:dyDescent="0.25">
      <c r="A150" t="s">
        <v>78</v>
      </c>
      <c r="B150">
        <v>1000000000</v>
      </c>
      <c r="C150">
        <v>9514.23</v>
      </c>
      <c r="D150">
        <v>4.589E-2</v>
      </c>
      <c r="E150">
        <v>4.5799999999999999E-3</v>
      </c>
      <c r="F150">
        <v>9994.4500000000007</v>
      </c>
      <c r="G150">
        <v>0</v>
      </c>
      <c r="H150">
        <f t="shared" si="14"/>
        <v>5.5499999999992719E-4</v>
      </c>
      <c r="I150">
        <v>4.6415999999999999E-2</v>
      </c>
      <c r="J150">
        <v>4.6420000000000003E-3</v>
      </c>
      <c r="K150">
        <f t="shared" si="18"/>
        <v>10000.00755534</v>
      </c>
      <c r="M150" t="s">
        <v>78</v>
      </c>
      <c r="N150">
        <v>1000000000</v>
      </c>
      <c r="O150">
        <v>9514.23</v>
      </c>
      <c r="P150">
        <v>4.6420000000000003E-2</v>
      </c>
      <c r="Q150">
        <v>4.64E-3</v>
      </c>
      <c r="R150">
        <v>10000</v>
      </c>
      <c r="S150">
        <v>0</v>
      </c>
      <c r="T150">
        <f t="shared" si="15"/>
        <v>0</v>
      </c>
      <c r="U150" t="b">
        <f>T150&lt;=H150</f>
        <v>1</v>
      </c>
      <c r="V150">
        <f t="shared" si="16"/>
        <v>8.6177180282747334E-5</v>
      </c>
      <c r="W150">
        <f t="shared" si="17"/>
        <v>4.3084877208105675E-4</v>
      </c>
    </row>
    <row r="151" spans="1:23" x14ac:dyDescent="0.25">
      <c r="A151" t="s">
        <v>77</v>
      </c>
      <c r="B151">
        <v>1000000000</v>
      </c>
      <c r="C151">
        <v>9536.7900000000009</v>
      </c>
      <c r="D151">
        <v>4.589E-2</v>
      </c>
      <c r="E151">
        <v>2.1299999999999999E-3</v>
      </c>
      <c r="F151">
        <v>9994.75</v>
      </c>
      <c r="G151">
        <v>0</v>
      </c>
      <c r="H151">
        <f t="shared" si="14"/>
        <v>5.2499999999999997E-4</v>
      </c>
      <c r="I151">
        <v>4.6415999999999999E-2</v>
      </c>
      <c r="J151">
        <v>2.1540000000000001E-3</v>
      </c>
      <c r="K151">
        <f t="shared" si="18"/>
        <v>9999.9918903000016</v>
      </c>
      <c r="M151" t="s">
        <v>77</v>
      </c>
      <c r="N151">
        <v>1000000000</v>
      </c>
      <c r="O151">
        <v>9536.7900000000009</v>
      </c>
      <c r="P151">
        <v>4.6420000000000003E-2</v>
      </c>
      <c r="Q151">
        <v>2.15E-3</v>
      </c>
      <c r="R151">
        <v>10000</v>
      </c>
      <c r="S151">
        <v>0</v>
      </c>
      <c r="T151">
        <f t="shared" si="15"/>
        <v>0</v>
      </c>
      <c r="U151" t="b">
        <f>T151&lt;=H151</f>
        <v>1</v>
      </c>
      <c r="V151">
        <f t="shared" si="16"/>
        <v>8.6177180282747334E-5</v>
      </c>
      <c r="W151">
        <f t="shared" si="17"/>
        <v>1.8570102135562197E-3</v>
      </c>
    </row>
    <row r="152" spans="1:23" x14ac:dyDescent="0.25">
      <c r="A152" t="s">
        <v>76</v>
      </c>
      <c r="B152">
        <v>1000000000</v>
      </c>
      <c r="C152">
        <v>9547.31</v>
      </c>
      <c r="D152">
        <v>4.589E-2</v>
      </c>
      <c r="E152">
        <v>9.8999999999999999E-4</v>
      </c>
      <c r="F152">
        <v>9994.89</v>
      </c>
      <c r="G152">
        <v>0</v>
      </c>
      <c r="H152">
        <f t="shared" si="14"/>
        <v>5.1100000000005817E-4</v>
      </c>
      <c r="I152">
        <v>4.6415999999999999E-2</v>
      </c>
      <c r="J152">
        <v>1E-3</v>
      </c>
      <c r="K152">
        <f t="shared" si="18"/>
        <v>10000.005250959999</v>
      </c>
      <c r="M152" t="s">
        <v>76</v>
      </c>
      <c r="N152">
        <v>1000000000</v>
      </c>
      <c r="O152">
        <v>9547.31</v>
      </c>
      <c r="P152">
        <v>4.6420000000000003E-2</v>
      </c>
      <c r="Q152">
        <v>1E-3</v>
      </c>
      <c r="R152">
        <v>10000</v>
      </c>
      <c r="S152">
        <v>0</v>
      </c>
      <c r="T152">
        <f t="shared" si="15"/>
        <v>0</v>
      </c>
      <c r="U152" t="b">
        <f>T152&lt;=H152</f>
        <v>1</v>
      </c>
      <c r="V152">
        <f t="shared" si="16"/>
        <v>8.6177180282747334E-5</v>
      </c>
      <c r="W152">
        <f t="shared" si="17"/>
        <v>0</v>
      </c>
    </row>
    <row r="155" spans="1:23" x14ac:dyDescent="0.25">
      <c r="A155" t="s">
        <v>0</v>
      </c>
      <c r="B155" t="s">
        <v>1</v>
      </c>
      <c r="C155" t="s">
        <v>2</v>
      </c>
      <c r="D155" t="s">
        <v>3</v>
      </c>
      <c r="E155" t="s">
        <v>4</v>
      </c>
      <c r="F155" t="s">
        <v>5</v>
      </c>
      <c r="G155" t="s">
        <v>6</v>
      </c>
      <c r="M155" t="s">
        <v>0</v>
      </c>
      <c r="N155" t="s">
        <v>1</v>
      </c>
      <c r="O155" t="s">
        <v>2</v>
      </c>
      <c r="P155" t="s">
        <v>3</v>
      </c>
      <c r="Q155" t="s">
        <v>4</v>
      </c>
      <c r="R155" t="s">
        <v>5</v>
      </c>
      <c r="S155" t="s">
        <v>6</v>
      </c>
    </row>
    <row r="156" spans="1:23" x14ac:dyDescent="0.25">
      <c r="A156" t="s">
        <v>75</v>
      </c>
      <c r="B156">
        <v>1000000000</v>
      </c>
      <c r="C156">
        <v>9586.91</v>
      </c>
      <c r="D156">
        <v>2.128E-2</v>
      </c>
      <c r="E156">
        <v>2.128E-2</v>
      </c>
      <c r="F156">
        <v>9995.02</v>
      </c>
      <c r="G156">
        <v>0</v>
      </c>
      <c r="H156">
        <f t="shared" si="14"/>
        <v>4.9799999999995638E-4</v>
      </c>
      <c r="I156">
        <v>2.1544000000000001E-2</v>
      </c>
      <c r="J156">
        <v>2.1544000000000001E-2</v>
      </c>
      <c r="K156">
        <f t="shared" si="13"/>
        <v>9999.9907780800004</v>
      </c>
      <c r="M156" t="s">
        <v>75</v>
      </c>
      <c r="N156">
        <v>1000000000</v>
      </c>
      <c r="O156">
        <v>9586.91</v>
      </c>
      <c r="P156">
        <v>2.154E-2</v>
      </c>
      <c r="Q156">
        <v>2.154E-2</v>
      </c>
      <c r="R156">
        <v>10000</v>
      </c>
      <c r="S156">
        <v>0</v>
      </c>
      <c r="T156">
        <f t="shared" si="15"/>
        <v>0</v>
      </c>
      <c r="U156" t="b">
        <f>T156&lt;=H156</f>
        <v>1</v>
      </c>
      <c r="V156">
        <f t="shared" si="16"/>
        <v>1.8566654288899604E-4</v>
      </c>
      <c r="W156">
        <f t="shared" si="17"/>
        <v>1.8566654288899604E-4</v>
      </c>
    </row>
    <row r="157" spans="1:23" x14ac:dyDescent="0.25">
      <c r="A157" t="s">
        <v>74</v>
      </c>
      <c r="B157">
        <v>1000000000</v>
      </c>
      <c r="C157">
        <v>9694.2000000000007</v>
      </c>
      <c r="D157">
        <v>2.129E-2</v>
      </c>
      <c r="E157">
        <v>9.8799999999999999E-3</v>
      </c>
      <c r="F157">
        <v>9996.31</v>
      </c>
      <c r="G157">
        <v>0</v>
      </c>
      <c r="H157">
        <f t="shared" si="14"/>
        <v>3.6900000000005093E-4</v>
      </c>
      <c r="I157">
        <v>2.1544000000000001E-2</v>
      </c>
      <c r="J157">
        <v>0.01</v>
      </c>
      <c r="K157">
        <f t="shared" si="13"/>
        <v>9999.9938448000012</v>
      </c>
      <c r="M157" t="s">
        <v>74</v>
      </c>
      <c r="N157">
        <v>1000000000</v>
      </c>
      <c r="O157">
        <v>9694.2000000000007</v>
      </c>
      <c r="P157">
        <v>2.154E-2</v>
      </c>
      <c r="Q157">
        <v>0.01</v>
      </c>
      <c r="R157">
        <v>10000</v>
      </c>
      <c r="S157">
        <v>0</v>
      </c>
      <c r="T157">
        <f t="shared" si="15"/>
        <v>0</v>
      </c>
      <c r="U157" t="b">
        <f>T157&lt;=H157</f>
        <v>1</v>
      </c>
      <c r="V157">
        <f t="shared" si="16"/>
        <v>1.8566654288899604E-4</v>
      </c>
      <c r="W157">
        <f t="shared" si="17"/>
        <v>0</v>
      </c>
    </row>
    <row r="158" spans="1:23" x14ac:dyDescent="0.25">
      <c r="A158" t="s">
        <v>73</v>
      </c>
      <c r="B158">
        <v>1000000000</v>
      </c>
      <c r="C158">
        <v>9744.82</v>
      </c>
      <c r="D158">
        <v>2.129E-2</v>
      </c>
      <c r="E158">
        <v>4.5799999999999999E-3</v>
      </c>
      <c r="F158">
        <v>9996.9500000000007</v>
      </c>
      <c r="G158">
        <v>0</v>
      </c>
      <c r="H158">
        <f t="shared" si="14"/>
        <v>3.0499999999992724E-4</v>
      </c>
      <c r="I158">
        <v>2.1544000000000001E-2</v>
      </c>
      <c r="J158">
        <v>4.6420000000000003E-3</v>
      </c>
      <c r="K158">
        <f t="shared" si="13"/>
        <v>9999.9978565199999</v>
      </c>
      <c r="M158" t="s">
        <v>73</v>
      </c>
      <c r="N158">
        <v>1000000000</v>
      </c>
      <c r="O158">
        <v>9744.82</v>
      </c>
      <c r="P158">
        <v>2.154E-2</v>
      </c>
      <c r="Q158">
        <v>4.64E-3</v>
      </c>
      <c r="R158">
        <v>10000</v>
      </c>
      <c r="S158">
        <v>0</v>
      </c>
      <c r="T158">
        <f t="shared" si="15"/>
        <v>0</v>
      </c>
      <c r="U158" t="b">
        <f>T158&lt;=H158</f>
        <v>1</v>
      </c>
      <c r="V158">
        <f t="shared" si="16"/>
        <v>1.8566654288899604E-4</v>
      </c>
      <c r="W158">
        <f t="shared" si="17"/>
        <v>4.3084877208105675E-4</v>
      </c>
    </row>
    <row r="159" spans="1:23" x14ac:dyDescent="0.25">
      <c r="A159" t="s">
        <v>72</v>
      </c>
      <c r="B159">
        <v>1000000000</v>
      </c>
      <c r="C159">
        <v>9768.5</v>
      </c>
      <c r="D159">
        <v>2.129E-2</v>
      </c>
      <c r="E159">
        <v>2.1299999999999999E-3</v>
      </c>
      <c r="F159">
        <v>9997.25</v>
      </c>
      <c r="G159">
        <v>0</v>
      </c>
      <c r="H159">
        <f t="shared" si="14"/>
        <v>2.7500000000000002E-4</v>
      </c>
      <c r="I159">
        <v>2.1544000000000001E-2</v>
      </c>
      <c r="J159">
        <v>2.1540000000000001E-3</v>
      </c>
      <c r="K159">
        <f t="shared" si="13"/>
        <v>9999.9939130000002</v>
      </c>
      <c r="M159" t="s">
        <v>72</v>
      </c>
      <c r="N159">
        <v>1000000000</v>
      </c>
      <c r="O159">
        <v>9768.5</v>
      </c>
      <c r="P159">
        <v>2.154E-2</v>
      </c>
      <c r="Q159">
        <v>2.15E-3</v>
      </c>
      <c r="R159">
        <v>10000</v>
      </c>
      <c r="S159">
        <v>0</v>
      </c>
      <c r="T159">
        <f t="shared" si="15"/>
        <v>0</v>
      </c>
      <c r="U159" t="b">
        <f>T159&lt;=H159</f>
        <v>1</v>
      </c>
      <c r="V159">
        <f t="shared" si="16"/>
        <v>1.8566654288899604E-4</v>
      </c>
      <c r="W159">
        <f t="shared" si="17"/>
        <v>1.8570102135562197E-3</v>
      </c>
    </row>
    <row r="160" spans="1:23" x14ac:dyDescent="0.25">
      <c r="A160" t="s">
        <v>71</v>
      </c>
      <c r="B160">
        <v>1000000000</v>
      </c>
      <c r="C160">
        <v>9779.5300000000007</v>
      </c>
      <c r="D160">
        <v>2.129E-2</v>
      </c>
      <c r="E160">
        <v>9.8999999999999999E-4</v>
      </c>
      <c r="F160">
        <v>9997.39</v>
      </c>
      <c r="G160">
        <v>0</v>
      </c>
      <c r="H160">
        <f t="shared" si="14"/>
        <v>2.6100000000005822E-4</v>
      </c>
      <c r="I160">
        <v>2.1544000000000001E-2</v>
      </c>
      <c r="J160">
        <v>1E-3</v>
      </c>
      <c r="K160">
        <f t="shared" si="13"/>
        <v>9999.9997243199996</v>
      </c>
      <c r="M160" t="s">
        <v>71</v>
      </c>
      <c r="N160">
        <v>1000000000</v>
      </c>
      <c r="O160">
        <v>9779.5300000000007</v>
      </c>
      <c r="P160">
        <v>2.154E-2</v>
      </c>
      <c r="Q160">
        <v>1E-3</v>
      </c>
      <c r="R160">
        <v>10000</v>
      </c>
      <c r="S160">
        <v>0</v>
      </c>
      <c r="T160">
        <f t="shared" si="15"/>
        <v>0</v>
      </c>
      <c r="U160" t="b">
        <f>T160&lt;=H160</f>
        <v>1</v>
      </c>
      <c r="V160">
        <f t="shared" si="16"/>
        <v>1.8566654288899604E-4</v>
      </c>
      <c r="W160">
        <f t="shared" si="17"/>
        <v>0</v>
      </c>
    </row>
    <row r="163" spans="1:23" x14ac:dyDescent="0.25">
      <c r="A163" t="s">
        <v>0</v>
      </c>
      <c r="B163" t="s">
        <v>1</v>
      </c>
      <c r="C163" t="s">
        <v>2</v>
      </c>
      <c r="D163" t="s">
        <v>3</v>
      </c>
      <c r="E163" t="s">
        <v>4</v>
      </c>
      <c r="F163" t="s">
        <v>5</v>
      </c>
      <c r="G163" t="s">
        <v>6</v>
      </c>
      <c r="M163" t="s">
        <v>0</v>
      </c>
      <c r="N163" t="s">
        <v>1</v>
      </c>
      <c r="O163" t="s">
        <v>2</v>
      </c>
      <c r="P163" t="s">
        <v>3</v>
      </c>
      <c r="Q163" t="s">
        <v>4</v>
      </c>
      <c r="R163" t="s">
        <v>5</v>
      </c>
      <c r="S163" t="s">
        <v>6</v>
      </c>
    </row>
    <row r="164" spans="1:23" x14ac:dyDescent="0.25">
      <c r="A164" t="s">
        <v>70</v>
      </c>
      <c r="B164">
        <v>1000000000</v>
      </c>
      <c r="C164">
        <v>9803.92</v>
      </c>
      <c r="D164">
        <v>9.8799999999999999E-3</v>
      </c>
      <c r="E164">
        <v>9.8799999999999999E-3</v>
      </c>
      <c r="F164">
        <v>9997.61</v>
      </c>
      <c r="G164">
        <v>0</v>
      </c>
      <c r="H164">
        <f t="shared" si="14"/>
        <v>2.3899999999994179E-4</v>
      </c>
      <c r="I164">
        <v>0.01</v>
      </c>
      <c r="J164">
        <v>0.01</v>
      </c>
      <c r="K164">
        <f t="shared" si="13"/>
        <v>9999.9984000000004</v>
      </c>
      <c r="M164" t="s">
        <v>70</v>
      </c>
      <c r="N164">
        <v>1000000000</v>
      </c>
      <c r="O164">
        <v>9803.92</v>
      </c>
      <c r="P164">
        <v>0.01</v>
      </c>
      <c r="Q164">
        <v>0.01</v>
      </c>
      <c r="R164">
        <v>10000</v>
      </c>
      <c r="S164">
        <v>0</v>
      </c>
      <c r="T164">
        <f t="shared" si="15"/>
        <v>0</v>
      </c>
      <c r="U164" t="b">
        <f>T164&lt;=H164</f>
        <v>1</v>
      </c>
      <c r="V164">
        <f t="shared" si="16"/>
        <v>0</v>
      </c>
      <c r="W164">
        <f t="shared" si="17"/>
        <v>0</v>
      </c>
    </row>
    <row r="165" spans="1:23" x14ac:dyDescent="0.25">
      <c r="A165" t="s">
        <v>69</v>
      </c>
      <c r="B165">
        <v>1000000000</v>
      </c>
      <c r="C165">
        <v>9855.7000000000007</v>
      </c>
      <c r="D165">
        <v>9.8799999999999999E-3</v>
      </c>
      <c r="E165">
        <v>4.5799999999999999E-3</v>
      </c>
      <c r="F165">
        <v>9998.24</v>
      </c>
      <c r="G165">
        <v>0</v>
      </c>
      <c r="H165">
        <f t="shared" si="14"/>
        <v>1.7600000000002181E-4</v>
      </c>
      <c r="I165">
        <v>0.01</v>
      </c>
      <c r="J165">
        <v>4.6420000000000003E-3</v>
      </c>
      <c r="K165">
        <f t="shared" si="13"/>
        <v>10000.007159400002</v>
      </c>
      <c r="M165" t="s">
        <v>69</v>
      </c>
      <c r="N165">
        <v>1000000000</v>
      </c>
      <c r="O165">
        <v>9855.7000000000007</v>
      </c>
      <c r="P165">
        <v>0.01</v>
      </c>
      <c r="Q165">
        <v>4.64E-3</v>
      </c>
      <c r="R165">
        <v>10000</v>
      </c>
      <c r="S165">
        <v>0</v>
      </c>
      <c r="T165">
        <f t="shared" si="15"/>
        <v>0</v>
      </c>
      <c r="U165" t="b">
        <f>T165&lt;=H165</f>
        <v>1</v>
      </c>
      <c r="V165">
        <f t="shared" si="16"/>
        <v>0</v>
      </c>
      <c r="W165">
        <f t="shared" si="17"/>
        <v>4.3084877208105675E-4</v>
      </c>
    </row>
    <row r="166" spans="1:23" x14ac:dyDescent="0.25">
      <c r="A166" t="s">
        <v>68</v>
      </c>
      <c r="B166">
        <v>1000000000</v>
      </c>
      <c r="C166">
        <v>9879.92</v>
      </c>
      <c r="D166">
        <v>9.8799999999999999E-3</v>
      </c>
      <c r="E166">
        <v>2.1299999999999999E-3</v>
      </c>
      <c r="F166">
        <v>9998.5400000000009</v>
      </c>
      <c r="G166">
        <v>0</v>
      </c>
      <c r="H166">
        <f t="shared" si="14"/>
        <v>1.4599999999991269E-4</v>
      </c>
      <c r="I166">
        <v>0.01</v>
      </c>
      <c r="J166">
        <v>2.1540000000000001E-3</v>
      </c>
      <c r="K166">
        <f t="shared" si="13"/>
        <v>10000.00054768</v>
      </c>
      <c r="M166" t="s">
        <v>68</v>
      </c>
      <c r="N166">
        <v>1000000000</v>
      </c>
      <c r="O166">
        <v>9879.92</v>
      </c>
      <c r="P166">
        <v>0.01</v>
      </c>
      <c r="Q166">
        <v>2.15E-3</v>
      </c>
      <c r="R166">
        <v>10000</v>
      </c>
      <c r="S166">
        <v>0</v>
      </c>
      <c r="T166">
        <f t="shared" si="15"/>
        <v>0</v>
      </c>
      <c r="U166" t="b">
        <f>T166&lt;=H166</f>
        <v>1</v>
      </c>
      <c r="V166">
        <f t="shared" si="16"/>
        <v>0</v>
      </c>
      <c r="W166">
        <f t="shared" si="17"/>
        <v>1.8570102135562197E-3</v>
      </c>
    </row>
    <row r="167" spans="1:23" x14ac:dyDescent="0.25">
      <c r="A167" t="s">
        <v>67</v>
      </c>
      <c r="B167">
        <v>1000000000</v>
      </c>
      <c r="C167">
        <v>9891.2000000000007</v>
      </c>
      <c r="D167">
        <v>9.8799999999999999E-3</v>
      </c>
      <c r="E167">
        <v>9.8999999999999999E-4</v>
      </c>
      <c r="F167">
        <v>9998.68</v>
      </c>
      <c r="G167">
        <v>0</v>
      </c>
      <c r="H167">
        <f t="shared" si="14"/>
        <v>1.319999999999709E-4</v>
      </c>
      <c r="I167">
        <v>0.01</v>
      </c>
      <c r="J167">
        <v>1E-3</v>
      </c>
      <c r="K167">
        <f>C167 *(1+I167+J167)</f>
        <v>10000.003199999999</v>
      </c>
      <c r="M167" t="s">
        <v>67</v>
      </c>
      <c r="N167">
        <v>1000000000</v>
      </c>
      <c r="O167">
        <v>9891.2000000000007</v>
      </c>
      <c r="P167">
        <v>0.01</v>
      </c>
      <c r="Q167">
        <v>1E-3</v>
      </c>
      <c r="R167">
        <v>10000</v>
      </c>
      <c r="S167">
        <v>0</v>
      </c>
      <c r="T167">
        <f t="shared" si="15"/>
        <v>0</v>
      </c>
      <c r="U167" t="b">
        <f>T167&lt;=H167</f>
        <v>1</v>
      </c>
      <c r="V167">
        <f t="shared" si="16"/>
        <v>0</v>
      </c>
      <c r="W167">
        <f t="shared" si="17"/>
        <v>0</v>
      </c>
    </row>
    <row r="170" spans="1:23" x14ac:dyDescent="0.25">
      <c r="A170" t="s">
        <v>0</v>
      </c>
      <c r="B170" t="s">
        <v>1</v>
      </c>
      <c r="C170" t="s">
        <v>2</v>
      </c>
      <c r="D170" t="s">
        <v>3</v>
      </c>
      <c r="E170" t="s">
        <v>4</v>
      </c>
      <c r="F170" t="s">
        <v>5</v>
      </c>
      <c r="G170" t="s">
        <v>6</v>
      </c>
      <c r="M170" t="s">
        <v>0</v>
      </c>
      <c r="N170" t="s">
        <v>1</v>
      </c>
      <c r="O170" t="s">
        <v>2</v>
      </c>
      <c r="P170" t="s">
        <v>3</v>
      </c>
      <c r="Q170" t="s">
        <v>4</v>
      </c>
      <c r="R170" t="s">
        <v>5</v>
      </c>
      <c r="S170" t="s">
        <v>6</v>
      </c>
    </row>
    <row r="171" spans="1:23" x14ac:dyDescent="0.25">
      <c r="A171" t="s">
        <v>66</v>
      </c>
      <c r="B171">
        <v>1000000000</v>
      </c>
      <c r="C171">
        <v>9908.02</v>
      </c>
      <c r="D171">
        <v>4.5799999999999999E-3</v>
      </c>
      <c r="E171">
        <v>4.5799999999999999E-3</v>
      </c>
      <c r="F171">
        <v>9998.8700000000008</v>
      </c>
      <c r="G171">
        <v>0</v>
      </c>
      <c r="H171">
        <f t="shared" si="14"/>
        <v>1.1299999999991997E-4</v>
      </c>
      <c r="I171">
        <v>4.6420000000000003E-3</v>
      </c>
      <c r="J171">
        <v>4.6420000000000003E-3</v>
      </c>
      <c r="K171" s="1"/>
      <c r="M171" t="s">
        <v>66</v>
      </c>
      <c r="N171">
        <v>1000000000</v>
      </c>
      <c r="O171">
        <v>9908.02</v>
      </c>
      <c r="P171">
        <v>4.64E-3</v>
      </c>
      <c r="Q171">
        <v>4.64E-3</v>
      </c>
      <c r="R171">
        <v>10000</v>
      </c>
      <c r="S171">
        <v>0</v>
      </c>
      <c r="T171">
        <f t="shared" si="15"/>
        <v>0</v>
      </c>
      <c r="U171" t="b">
        <f>T171&lt;=H171</f>
        <v>1</v>
      </c>
      <c r="V171">
        <f t="shared" si="16"/>
        <v>4.3084877208105675E-4</v>
      </c>
      <c r="W171">
        <f t="shared" si="17"/>
        <v>4.3084877208105675E-4</v>
      </c>
    </row>
    <row r="172" spans="1:23" x14ac:dyDescent="0.25">
      <c r="A172" t="s">
        <v>65</v>
      </c>
      <c r="B172">
        <v>1000000000</v>
      </c>
      <c r="C172">
        <v>9932.5</v>
      </c>
      <c r="D172">
        <v>4.5799999999999999E-3</v>
      </c>
      <c r="E172">
        <v>2.1299999999999999E-3</v>
      </c>
      <c r="F172">
        <v>9999.17</v>
      </c>
      <c r="G172">
        <v>0</v>
      </c>
      <c r="H172">
        <f t="shared" si="14"/>
        <v>8.299999999999272E-5</v>
      </c>
      <c r="I172">
        <v>4.6420000000000003E-3</v>
      </c>
      <c r="J172">
        <v>2.1540000000000001E-3</v>
      </c>
      <c r="K172" s="1"/>
      <c r="M172" t="s">
        <v>65</v>
      </c>
      <c r="N172">
        <v>1000000000</v>
      </c>
      <c r="O172">
        <v>9932.5</v>
      </c>
      <c r="P172">
        <v>4.64E-3</v>
      </c>
      <c r="Q172">
        <v>2.15E-3</v>
      </c>
      <c r="R172">
        <v>10000</v>
      </c>
      <c r="S172">
        <v>0</v>
      </c>
      <c r="T172">
        <f t="shared" si="15"/>
        <v>0</v>
      </c>
      <c r="U172" t="b">
        <f>T172&lt;=H172</f>
        <v>1</v>
      </c>
      <c r="V172">
        <f t="shared" si="16"/>
        <v>4.3084877208105675E-4</v>
      </c>
      <c r="W172">
        <f t="shared" si="17"/>
        <v>1.8570102135562197E-3</v>
      </c>
    </row>
    <row r="173" spans="1:23" x14ac:dyDescent="0.25">
      <c r="A173" t="s">
        <v>64</v>
      </c>
      <c r="B173">
        <v>1000000000</v>
      </c>
      <c r="C173">
        <v>9943.9</v>
      </c>
      <c r="D173">
        <v>4.5799999999999999E-3</v>
      </c>
      <c r="E173">
        <v>9.8999999999999999E-4</v>
      </c>
      <c r="F173">
        <v>9999.31</v>
      </c>
      <c r="G173">
        <v>0</v>
      </c>
      <c r="H173">
        <f t="shared" si="14"/>
        <v>6.9000000000050927E-5</v>
      </c>
      <c r="I173">
        <v>4.6420000000000003E-3</v>
      </c>
      <c r="J173">
        <v>1E-3</v>
      </c>
      <c r="K173" s="1"/>
      <c r="M173" t="s">
        <v>64</v>
      </c>
      <c r="N173">
        <v>1000000000</v>
      </c>
      <c r="O173">
        <v>9943.9</v>
      </c>
      <c r="P173">
        <v>4.64E-3</v>
      </c>
      <c r="Q173">
        <v>1E-3</v>
      </c>
      <c r="R173">
        <v>10000</v>
      </c>
      <c r="S173">
        <v>0</v>
      </c>
      <c r="T173">
        <f t="shared" si="15"/>
        <v>0</v>
      </c>
      <c r="U173" t="b">
        <f>T173&lt;=H173</f>
        <v>1</v>
      </c>
      <c r="V173">
        <f t="shared" si="16"/>
        <v>4.3084877208105675E-4</v>
      </c>
      <c r="W173">
        <f t="shared" si="17"/>
        <v>0</v>
      </c>
    </row>
    <row r="176" spans="1:23" x14ac:dyDescent="0.25">
      <c r="A176" t="s">
        <v>0</v>
      </c>
      <c r="B176" t="s">
        <v>1</v>
      </c>
      <c r="C176" t="s">
        <v>2</v>
      </c>
      <c r="D176" t="s">
        <v>3</v>
      </c>
      <c r="E176" t="s">
        <v>4</v>
      </c>
      <c r="F176" t="s">
        <v>5</v>
      </c>
      <c r="G176" t="s">
        <v>6</v>
      </c>
      <c r="M176" t="s">
        <v>0</v>
      </c>
      <c r="N176" t="s">
        <v>1</v>
      </c>
      <c r="O176" t="s">
        <v>2</v>
      </c>
      <c r="P176" t="s">
        <v>3</v>
      </c>
      <c r="Q176" t="s">
        <v>4</v>
      </c>
      <c r="R176" t="s">
        <v>5</v>
      </c>
      <c r="S176" t="s">
        <v>6</v>
      </c>
    </row>
    <row r="177" spans="1:23" x14ac:dyDescent="0.25">
      <c r="A177" t="s">
        <v>63</v>
      </c>
      <c r="B177">
        <v>1000000000</v>
      </c>
      <c r="C177">
        <v>9957.1</v>
      </c>
      <c r="D177">
        <v>2.1299999999999999E-3</v>
      </c>
      <c r="E177">
        <v>2.1299999999999999E-3</v>
      </c>
      <c r="F177">
        <v>9999.4699999999993</v>
      </c>
      <c r="G177">
        <v>0</v>
      </c>
      <c r="H177">
        <f t="shared" si="14"/>
        <v>5.3000000000065487E-5</v>
      </c>
      <c r="I177">
        <v>2.1540000000000001E-3</v>
      </c>
      <c r="J177">
        <v>2.1540000000000001E-3</v>
      </c>
      <c r="K177">
        <f t="shared" si="18"/>
        <v>9999.9951868000007</v>
      </c>
      <c r="M177" t="s">
        <v>63</v>
      </c>
      <c r="N177">
        <v>1000000000</v>
      </c>
      <c r="O177">
        <v>9957.1</v>
      </c>
      <c r="P177">
        <v>2.15E-3</v>
      </c>
      <c r="Q177">
        <v>2.15E-3</v>
      </c>
      <c r="R177">
        <v>10000</v>
      </c>
      <c r="S177">
        <v>0</v>
      </c>
      <c r="T177">
        <f t="shared" si="15"/>
        <v>0</v>
      </c>
      <c r="U177" t="b">
        <f>T177&lt;=H177</f>
        <v>1</v>
      </c>
      <c r="V177">
        <f t="shared" si="16"/>
        <v>1.8570102135562197E-3</v>
      </c>
      <c r="W177">
        <f t="shared" si="17"/>
        <v>1.8570102135562197E-3</v>
      </c>
    </row>
    <row r="178" spans="1:23" x14ac:dyDescent="0.25">
      <c r="A178" t="s">
        <v>62</v>
      </c>
      <c r="B178">
        <v>1000000000</v>
      </c>
      <c r="C178">
        <v>9968.5499999999993</v>
      </c>
      <c r="D178">
        <v>2.1299999999999999E-3</v>
      </c>
      <c r="E178">
        <v>9.8999999999999999E-4</v>
      </c>
      <c r="F178">
        <v>9999.61</v>
      </c>
      <c r="G178">
        <v>0</v>
      </c>
      <c r="H178">
        <f t="shared" si="14"/>
        <v>3.8999999999941791E-5</v>
      </c>
      <c r="I178">
        <v>2.1540000000000001E-3</v>
      </c>
      <c r="J178">
        <v>1E-3</v>
      </c>
      <c r="K178">
        <f t="shared" si="18"/>
        <v>9999.9908066999978</v>
      </c>
      <c r="M178" t="s">
        <v>62</v>
      </c>
      <c r="N178">
        <v>1000000000</v>
      </c>
      <c r="O178">
        <v>9968.5499999999993</v>
      </c>
      <c r="P178">
        <v>2.1299999999999999E-3</v>
      </c>
      <c r="Q178">
        <v>9.8999999999999999E-4</v>
      </c>
      <c r="R178">
        <v>9999.61</v>
      </c>
      <c r="S178">
        <v>0</v>
      </c>
      <c r="T178">
        <f t="shared" si="15"/>
        <v>3.8999999999941791E-5</v>
      </c>
      <c r="U178" t="b">
        <f>T178&lt;=H178</f>
        <v>1</v>
      </c>
      <c r="V178">
        <f t="shared" si="16"/>
        <v>1.1142061281337117E-2</v>
      </c>
      <c r="W178">
        <f t="shared" si="17"/>
        <v>1.0000000000000026E-2</v>
      </c>
    </row>
    <row r="181" spans="1:23" x14ac:dyDescent="0.25">
      <c r="A181" t="s">
        <v>0</v>
      </c>
      <c r="B181" t="s">
        <v>1</v>
      </c>
      <c r="C181" t="s">
        <v>2</v>
      </c>
      <c r="D181" t="s">
        <v>3</v>
      </c>
      <c r="E181" t="s">
        <v>4</v>
      </c>
      <c r="F181" t="s">
        <v>5</v>
      </c>
      <c r="G181" t="s">
        <v>6</v>
      </c>
    </row>
    <row r="182" spans="1:23" x14ac:dyDescent="0.25">
      <c r="A182" t="s">
        <v>61</v>
      </c>
      <c r="B182">
        <v>1000000000</v>
      </c>
      <c r="C182">
        <v>9980.0400000000009</v>
      </c>
      <c r="D182">
        <v>9.8999999999999999E-4</v>
      </c>
      <c r="E182">
        <v>9.8999999999999999E-4</v>
      </c>
      <c r="F182">
        <v>9999.75</v>
      </c>
      <c r="G182">
        <v>0</v>
      </c>
      <c r="H182">
        <f t="shared" si="14"/>
        <v>2.5000000000000001E-5</v>
      </c>
      <c r="I182">
        <v>1E-3</v>
      </c>
      <c r="J182">
        <v>1E-3</v>
      </c>
      <c r="K182">
        <f t="shared" si="18"/>
        <v>10000.000079999998</v>
      </c>
      <c r="M182" t="s">
        <v>61</v>
      </c>
      <c r="N182">
        <v>1000000000</v>
      </c>
      <c r="O182">
        <v>9980.0400000000009</v>
      </c>
      <c r="P182">
        <v>9.8999999999999999E-4</v>
      </c>
      <c r="Q182">
        <v>9.8999999999999999E-4</v>
      </c>
      <c r="R182">
        <v>9999.75</v>
      </c>
      <c r="S182">
        <v>0</v>
      </c>
      <c r="T182">
        <f t="shared" si="15"/>
        <v>2.5000000000000001E-5</v>
      </c>
      <c r="U182" t="b">
        <f>T182&lt;=H182</f>
        <v>1</v>
      </c>
      <c r="V182">
        <f t="shared" si="16"/>
        <v>1.0000000000000026E-2</v>
      </c>
      <c r="W182">
        <f t="shared" si="17"/>
        <v>1.0000000000000026E-2</v>
      </c>
    </row>
  </sheetData>
  <sortState xmlns:xlrd2="http://schemas.microsoft.com/office/spreadsheetml/2017/richdata2" ref="A2:G17">
    <sortCondition descending="1" ref="E2:E17"/>
  </sortState>
  <conditionalFormatting sqref="H2:H178">
    <cfRule type="colorScale" priority="3">
      <colorScale>
        <cfvo type="num" val="0"/>
        <cfvo type="num" val="0.5"/>
        <cfvo type="num" val="1"/>
        <color rgb="FF00B050"/>
        <color rgb="FFFFEB84"/>
        <color rgb="FFFF0000"/>
      </colorScale>
    </cfRule>
  </conditionalFormatting>
  <conditionalFormatting sqref="H2:H182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:T182">
    <cfRule type="colorScale" priority="11">
      <colorScale>
        <cfvo type="num" val="0"/>
        <cfvo type="num" val="0.5"/>
        <cfvo type="num" val="1"/>
        <color rgb="FF00B050"/>
        <color rgb="FFFFEB84"/>
        <color rgb="FFFF0000"/>
      </colorScale>
    </cfRule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2:W182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SheetJS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Patrick Krkotic</cp:lastModifiedBy>
  <dcterms:modified xsi:type="dcterms:W3CDTF">2025-05-01T09:37:57Z</dcterms:modified>
</cp:coreProperties>
</file>